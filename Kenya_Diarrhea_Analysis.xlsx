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hidePivotFieldList="1" defaultThemeVersion="164011"/>
  <bookViews>
    <workbookView xWindow="0" yWindow="0" windowWidth="22260" windowHeight="12650"/>
  </bookViews>
  <sheets>
    <sheet name="Dashboard" sheetId="1" r:id="rId1"/>
    <sheet name="PT_Prevalence" sheetId="4" r:id="rId2"/>
    <sheet name="PT_Treatment" sheetId="5" r:id="rId3"/>
    <sheet name="PT_Feeding" sheetId="6" r:id="rId4"/>
    <sheet name="Data" sheetId="2" r:id="rId5"/>
    <sheet name="Data_Dictionary" sheetId="3" r:id="rId6"/>
  </sheets>
  <definedNames>
    <definedName name="ExternalData_1" localSheetId="4" hidden="1">Data!$A$1:$H$154</definedName>
    <definedName name="Slicer_Year">#N/A</definedName>
  </definedNames>
  <calcPr calcId="162913"/>
  <pivotCaches>
    <pivotCache cacheId="0"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connection id="1" keepAlive="1" name="Query - diarrhea_national_ken" description="Connection to the 'diarrhea_national_ken' query in the workbook." type="5" refreshedVersion="6" background="1" saveData="1">
    <dbPr connection="Provider=Microsoft.Mashup.OleDb.1;Data Source=$Workbook$;Location=diarrhea_national_ken;Extended Properties=&quot;&quot;" command="SELECT * FROM [diarrhea_national_ken]"/>
  </connection>
</connections>
</file>

<file path=xl/sharedStrings.xml><?xml version="1.0" encoding="utf-8"?>
<sst xmlns="http://schemas.openxmlformats.org/spreadsheetml/2006/main" count="691" uniqueCount="117">
  <si>
    <t>Indicator</t>
  </si>
  <si>
    <t>Value_pct</t>
  </si>
  <si>
    <t>Year</t>
  </si>
  <si>
    <t>Survey_Period</t>
  </si>
  <si>
    <t>Sample_Size</t>
  </si>
  <si>
    <t>Sample_Unweighted</t>
  </si>
  <si>
    <t>Category</t>
  </si>
  <si>
    <t>Children with diarrhea</t>
  </si>
  <si>
    <t>1989</t>
  </si>
  <si>
    <t>Prevalence</t>
  </si>
  <si>
    <t>Feeding practices during diarrhea: Increased amount of fluids</t>
  </si>
  <si>
    <t>Feeding Practices</t>
  </si>
  <si>
    <t>Feeding practices during diarrhea: Same amount of fluids</t>
  </si>
  <si>
    <t>Feeding practices during diarrhea: Increased amount of food</t>
  </si>
  <si>
    <t>Feeding practices during diarrhea: Same amount of food</t>
  </si>
  <si>
    <t>Feeding practices during diarrhea: Given increased fluids and continued feeding</t>
  </si>
  <si>
    <t>Feeding practices during diarrhea: Continued feeding, and ORT and/or increased fluids</t>
  </si>
  <si>
    <t>1993</t>
  </si>
  <si>
    <t>Children with diarrhea with blood in the stools</t>
  </si>
  <si>
    <t>Treatment of diarrhea: Advice or treatment was sought</t>
  </si>
  <si>
    <t>Treatment</t>
  </si>
  <si>
    <t>Treatment of diarrhea: Oral rehydration solution (ORS)</t>
  </si>
  <si>
    <t>Treatment of diarrhea: Either ORS or RHF</t>
  </si>
  <si>
    <t>Treatment of diarrhea: Increased fluids</t>
  </si>
  <si>
    <t>Treatment of diarrhea: ORT or increased fluids</t>
  </si>
  <si>
    <t>Treatment of diarrhea: No ORS, RHF or increased fluids</t>
  </si>
  <si>
    <t>Treatment of diarrhea: Antibiotics</t>
  </si>
  <si>
    <t>Treatment of diarrhea: Intravenous solution</t>
  </si>
  <si>
    <t>Treatment of diarrhea: Home remedy - other</t>
  </si>
  <si>
    <t>Treatment of diarrhea: No treatment</t>
  </si>
  <si>
    <t>Treatment of diarrhea: don't know or missing</t>
  </si>
  <si>
    <t>Feeding practices during diarrhea: Decreased amount of fluids</t>
  </si>
  <si>
    <t>Feeding practices during diarrhea: don't know or missing on fluids given</t>
  </si>
  <si>
    <t>Knowledge of ORS</t>
  </si>
  <si>
    <t>2003</t>
  </si>
  <si>
    <t>Feeding practices during diarrhea: ORT and continued feeding</t>
  </si>
  <si>
    <t>Feeding practices during diarrhea: Somewhat less fluids</t>
  </si>
  <si>
    <t>Feeding practices during diarrhea: Much less fluids</t>
  </si>
  <si>
    <t>Feeding practices during diarrhea: Stopped fluids completely</t>
  </si>
  <si>
    <t>Feeding practices during diarrhea: Somewhat less food</t>
  </si>
  <si>
    <t>Feeding practices during diarrhea: Much less food</t>
  </si>
  <si>
    <t>Feeding practices during diarrhea: Stopped food completely</t>
  </si>
  <si>
    <t>Feeding practices during diarrhea: Never gave food</t>
  </si>
  <si>
    <t>Feeding practices during diarrhea: don't know or missing on food given</t>
  </si>
  <si>
    <t>2008-09</t>
  </si>
  <si>
    <t>Treatment of diarrhea: Recommended home fluids (RHF) at home</t>
  </si>
  <si>
    <t>Treatment of diarrhea: Zinc supplements</t>
  </si>
  <si>
    <t>Treatment of diarrhea: Antimotility drugs</t>
  </si>
  <si>
    <t>Treatment of diarrhea: Injection</t>
  </si>
  <si>
    <t>2014</t>
  </si>
  <si>
    <t>2022</t>
  </si>
  <si>
    <t>Column Name</t>
  </si>
  <si>
    <t>Data Type</t>
  </si>
  <si>
    <t>Description</t>
  </si>
  <si>
    <t>Example Value</t>
  </si>
  <si>
    <t>Text</t>
  </si>
  <si>
    <t>Number</t>
  </si>
  <si>
    <t>The specific health metric being measured</t>
  </si>
  <si>
    <t>The measured value/percentage for that indicator</t>
  </si>
  <si>
    <t>The DHS survey year</t>
  </si>
  <si>
    <t>Display label for the survey year</t>
  </si>
  <si>
    <t>Weighted number of children represented nationally</t>
  </si>
  <si>
    <t>Actual number of children physically interviewed</t>
  </si>
  <si>
    <t>Indicator group — Prevalence, Treatment or Feeding Practices</t>
  </si>
  <si>
    <t>Children with diarrhoea</t>
  </si>
  <si>
    <t>Source: Kenya Demographic &amp; Health Survey (DHS) 1989-2022| Diarrhea National Dataset| Cleaned March 2026</t>
  </si>
  <si>
    <t>Notes</t>
  </si>
  <si>
    <t>43 unique indicators across 3 categories</t>
  </si>
  <si>
    <t>Values range from 0.1 to 100</t>
  </si>
  <si>
    <t>7 survey years: 1989,1993,1998,2003,2008,2014,2022</t>
  </si>
  <si>
    <t>Same as Year but stored as text</t>
  </si>
  <si>
    <t>Blank for some indicators by design</t>
  </si>
  <si>
    <t>Created in Power Query using conditional logic</t>
  </si>
  <si>
    <t>Row Labels</t>
  </si>
  <si>
    <t>Grand Total</t>
  </si>
  <si>
    <t>Average of Value_pct</t>
  </si>
  <si>
    <t>Column Labels</t>
  </si>
  <si>
    <t>Short_Indicator</t>
  </si>
  <si>
    <t>Diarrhea Prevalence</t>
  </si>
  <si>
    <t>More Fluids Given</t>
  </si>
  <si>
    <t>Same Fluids</t>
  </si>
  <si>
    <t>More Food Given</t>
  </si>
  <si>
    <t>Same Food</t>
  </si>
  <si>
    <t>Increased Fluids+Feeding</t>
  </si>
  <si>
    <t>Continued Feeding+ORT</t>
  </si>
  <si>
    <t>Advice Sought</t>
  </si>
  <si>
    <t>ORS</t>
  </si>
  <si>
    <t>ORS or RHF</t>
  </si>
  <si>
    <t>Increased Fluids</t>
  </si>
  <si>
    <t>ORT or Fluids</t>
  </si>
  <si>
    <t>No ORS/RHF/Fluids</t>
  </si>
  <si>
    <t>Antibiotics</t>
  </si>
  <si>
    <t>IV Solution</t>
  </si>
  <si>
    <t>Home Remedy</t>
  </si>
  <si>
    <t>No Treatment</t>
  </si>
  <si>
    <t>Unknown Treatment</t>
  </si>
  <si>
    <t>Less Fluids Given</t>
  </si>
  <si>
    <t>ORT+Continued Feeding</t>
  </si>
  <si>
    <t>Somewhat Less Fluids</t>
  </si>
  <si>
    <t>Much Less Fluids</t>
  </si>
  <si>
    <t>Stopped Fluids</t>
  </si>
  <si>
    <t>Somewhat Less Food</t>
  </si>
  <si>
    <t>Much Less Food</t>
  </si>
  <si>
    <t>Stopped Food</t>
  </si>
  <si>
    <t>Never Gave Food</t>
  </si>
  <si>
    <t>RHF</t>
  </si>
  <si>
    <t>Zinc Supplements</t>
  </si>
  <si>
    <t>Antimotility Drugs</t>
  </si>
  <si>
    <t>Injection</t>
  </si>
  <si>
    <t>KENYA CHILD DIARRHEA HEALTH ANALYSIS 1989 – 2022</t>
  </si>
  <si>
    <t>Survey Years</t>
  </si>
  <si>
    <t>7 (1989-2022)</t>
  </si>
  <si>
    <t>Latest Prevalence</t>
  </si>
  <si>
    <t>Peak Prevalence</t>
  </si>
  <si>
    <t>43.6% (2003)</t>
  </si>
  <si>
    <t>ORS Usage 2022</t>
  </si>
  <si>
    <t>Source: Kenya DHS Survey 1989-2022 | Compiled by: [Sagambor]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</si>
</sst>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5" x14ac:knownFonts="1">
    <font>
      <sz val="11"/>
      <color theme="1"/>
      <name val="Calibri"/>
      <family val="2"/>
      <scheme val="minor"/>
    </font>
    <font>
      <b/>
      <sz val="11"/>
      <color theme="0"/>
      <name val="Calibri"/>
      <family val="2"/>
      <scheme val="minor"/>
    </font>
    <font>
      <sz val="11"/>
      <color theme="0"/>
      <name val="Calibri"/>
      <family val="2"/>
      <scheme val="minor"/>
    </font>
    <font>
      <b/>
      <sz val="18"/>
      <color theme="0"/>
      <name val="Calibri"/>
      <family val="2"/>
      <scheme val="minor"/>
    </font>
    <font>
      <b/>
      <sz val="14"/>
      <color theme="1"/>
      <name val="Calibri"/>
      <family val="2"/>
      <scheme val="minor"/>
    </font>
  </fonts>
  <fills count="5">
    <fill>
      <patternFill patternType="none"/>
    </fill>
    <fill>
      <patternFill patternType="gray125"/>
    </fill>
    <fill>
      <patternFill patternType="solid">
        <fgColor theme="8"/>
        <bgColor indexed="64"/>
      </patternFill>
    </fill>
    <fill>
      <patternFill patternType="solid">
        <fgColor theme="8" tint="-0.249977111117893"/>
        <bgColor indexed="64"/>
      </patternFill>
    </fill>
    <fill>
      <patternFill patternType="solid">
        <fgColor theme="4" tint="0.39997558519241921"/>
        <bgColor indexed="64"/>
      </patternFill>
    </fill>
  </fills>
  <borders count="3">
    <border>
      <left/>
      <right/>
      <top/>
      <bottom/>
      <diagonal/>
    </border>
    <border>
      <left style="thick">
        <color auto="1"/>
      </left>
      <right/>
      <top style="thick">
        <color auto="1"/>
      </top>
      <bottom style="thick">
        <color auto="1"/>
      </bottom>
      <diagonal/>
    </border>
    <border>
      <left/>
      <right style="thick">
        <color auto="1"/>
      </right>
      <top style="thick">
        <color auto="1"/>
      </top>
      <bottom style="thick">
        <color auto="1"/>
      </bottom>
      <diagonal/>
    </border>
  </borders>
  <cellStyleXfs count="1">
    <xf numFmtId="0" fontId="0" fillId="0" borderId="0"/>
  </cellStyleXfs>
  <cellXfs count="17">
    <xf numFmtId="0" fontId="0" fillId="0" borderId="0" xfId="0"/>
    <xf numFmtId="0" fontId="0" fillId="0" borderId="0" xfId="0" applyNumberFormat="1"/>
    <xf numFmtId="0" fontId="1" fillId="2" borderId="0" xfId="0" applyFont="1" applyFill="1"/>
    <xf numFmtId="0" fontId="0" fillId="0" borderId="0" xfId="0" applyAlignment="1"/>
    <xf numFmtId="0" fontId="0" fillId="0" borderId="0" xfId="0" pivotButton="1"/>
    <xf numFmtId="0" fontId="0" fillId="0" borderId="0" xfId="0" applyAlignment="1">
      <alignment horizontal="left"/>
    </xf>
    <xf numFmtId="2" fontId="0" fillId="0" borderId="0" xfId="0" applyNumberFormat="1"/>
    <xf numFmtId="164" fontId="0" fillId="0" borderId="0" xfId="0" applyNumberFormat="1"/>
    <xf numFmtId="0" fontId="0" fillId="0" borderId="0" xfId="0" applyAlignment="1">
      <alignment horizontal="center"/>
    </xf>
    <xf numFmtId="0" fontId="3" fillId="3" borderId="0" xfId="0" applyFont="1" applyFill="1" applyAlignment="1">
      <alignment horizontal="center"/>
    </xf>
    <xf numFmtId="0" fontId="2" fillId="3" borderId="0" xfId="0" applyFont="1" applyFill="1" applyAlignment="1">
      <alignment horizontal="center"/>
    </xf>
    <xf numFmtId="0" fontId="0" fillId="4" borderId="1" xfId="0" applyFill="1" applyBorder="1" applyAlignment="1">
      <alignment horizontal="center"/>
    </xf>
    <xf numFmtId="0" fontId="0" fillId="4" borderId="2" xfId="0" applyFill="1" applyBorder="1" applyAlignment="1">
      <alignment horizontal="center"/>
    </xf>
    <xf numFmtId="10" fontId="0" fillId="4" borderId="1" xfId="0" applyNumberFormat="1" applyFill="1" applyBorder="1" applyAlignment="1">
      <alignment horizontal="center"/>
    </xf>
    <xf numFmtId="10" fontId="0" fillId="4" borderId="2" xfId="0" applyNumberFormat="1" applyFill="1" applyBorder="1" applyAlignment="1">
      <alignment horizontal="center"/>
    </xf>
    <xf numFmtId="0" fontId="4" fillId="4" borderId="1" xfId="0" applyFont="1" applyFill="1" applyBorder="1" applyAlignment="1">
      <alignment horizontal="center"/>
    </xf>
    <xf numFmtId="0" fontId="4" fillId="4" borderId="2" xfId="0" applyFont="1" applyFill="1" applyBorder="1" applyAlignment="1">
      <alignment horizontal="center"/>
    </xf>
  </cellXfs>
  <cellStyles count="1">
    <cellStyle name="Normal" xfId="0" builtinId="0"/>
  </cellStyles>
  <dxfs count="99">
    <dxf>
      <numFmt numFmtId="2" formatCode="0.00"/>
    </dxf>
    <dxf>
      <numFmt numFmtId="164" formatCode="0.0"/>
    </dxf>
    <dxf>
      <numFmt numFmtId="168" formatCode="0.000000000"/>
    </dxf>
    <dxf>
      <numFmt numFmtId="167" formatCode="0.00000000"/>
    </dxf>
    <dxf>
      <numFmt numFmtId="166" formatCode="0.0000000"/>
    </dxf>
    <dxf>
      <numFmt numFmtId="165" formatCode="0.000000"/>
    </dxf>
    <dxf>
      <numFmt numFmtId="164" formatCode="0.0"/>
    </dxf>
    <dxf>
      <numFmt numFmtId="2" formatCode="0.00"/>
    </dxf>
    <dxf>
      <numFmt numFmtId="164" formatCode="0.0"/>
    </dxf>
    <dxf>
      <numFmt numFmtId="168" formatCode="0.000000000"/>
    </dxf>
    <dxf>
      <numFmt numFmtId="167" formatCode="0.00000000"/>
    </dxf>
    <dxf>
      <numFmt numFmtId="166" formatCode="0.0000000"/>
    </dxf>
    <dxf>
      <numFmt numFmtId="165" formatCode="0.000000"/>
    </dxf>
    <dxf>
      <numFmt numFmtId="164" formatCode="0.0"/>
    </dxf>
    <dxf>
      <numFmt numFmtId="2" formatCode="0.00"/>
    </dxf>
    <dxf>
      <numFmt numFmtId="164" formatCode="0.0"/>
    </dxf>
    <dxf>
      <numFmt numFmtId="168" formatCode="0.000000000"/>
    </dxf>
    <dxf>
      <numFmt numFmtId="167" formatCode="0.00000000"/>
    </dxf>
    <dxf>
      <numFmt numFmtId="166" formatCode="0.0000000"/>
    </dxf>
    <dxf>
      <numFmt numFmtId="165" formatCode="0.000000"/>
    </dxf>
    <dxf>
      <numFmt numFmtId="164" formatCode="0.0"/>
    </dxf>
    <dxf>
      <numFmt numFmtId="2" formatCode="0.00"/>
    </dxf>
    <dxf>
      <numFmt numFmtId="164" formatCode="0.0"/>
    </dxf>
    <dxf>
      <numFmt numFmtId="168" formatCode="0.000000000"/>
    </dxf>
    <dxf>
      <numFmt numFmtId="167" formatCode="0.00000000"/>
    </dxf>
    <dxf>
      <numFmt numFmtId="166" formatCode="0.0000000"/>
    </dxf>
    <dxf>
      <numFmt numFmtId="165" formatCode="0.000000"/>
    </dxf>
    <dxf>
      <numFmt numFmtId="164" formatCode="0.0"/>
    </dxf>
    <dxf>
      <numFmt numFmtId="2" formatCode="0.00"/>
    </dxf>
    <dxf>
      <numFmt numFmtId="164" formatCode="0.0"/>
    </dxf>
    <dxf>
      <numFmt numFmtId="168" formatCode="0.000000000"/>
    </dxf>
    <dxf>
      <numFmt numFmtId="167" formatCode="0.00000000"/>
    </dxf>
    <dxf>
      <numFmt numFmtId="166" formatCode="0.0000000"/>
    </dxf>
    <dxf>
      <numFmt numFmtId="165" formatCode="0.000000"/>
    </dxf>
    <dxf>
      <numFmt numFmtId="164" formatCode="0.0"/>
    </dxf>
    <dxf>
      <numFmt numFmtId="2" formatCode="0.00"/>
    </dxf>
    <dxf>
      <numFmt numFmtId="164" formatCode="0.0"/>
    </dxf>
    <dxf>
      <numFmt numFmtId="168" formatCode="0.000000000"/>
    </dxf>
    <dxf>
      <numFmt numFmtId="167" formatCode="0.00000000"/>
    </dxf>
    <dxf>
      <numFmt numFmtId="166" formatCode="0.0000000"/>
    </dxf>
    <dxf>
      <numFmt numFmtId="165" formatCode="0.000000"/>
    </dxf>
    <dxf>
      <numFmt numFmtId="164" formatCode="0.0"/>
    </dxf>
    <dxf>
      <numFmt numFmtId="2" formatCode="0.00"/>
    </dxf>
    <dxf>
      <numFmt numFmtId="164" formatCode="0.0"/>
    </dxf>
    <dxf>
      <numFmt numFmtId="168" formatCode="0.000000000"/>
    </dxf>
    <dxf>
      <numFmt numFmtId="167" formatCode="0.00000000"/>
    </dxf>
    <dxf>
      <numFmt numFmtId="166" formatCode="0.0000000"/>
    </dxf>
    <dxf>
      <numFmt numFmtId="165" formatCode="0.000000"/>
    </dxf>
    <dxf>
      <numFmt numFmtId="164" formatCode="0.0"/>
    </dxf>
    <dxf>
      <numFmt numFmtId="2" formatCode="0.00"/>
    </dxf>
    <dxf>
      <numFmt numFmtId="164" formatCode="0.0"/>
    </dxf>
    <dxf>
      <numFmt numFmtId="168" formatCode="0.000000000"/>
    </dxf>
    <dxf>
      <numFmt numFmtId="167" formatCode="0.00000000"/>
    </dxf>
    <dxf>
      <numFmt numFmtId="166" formatCode="0.0000000"/>
    </dxf>
    <dxf>
      <numFmt numFmtId="165" formatCode="0.000000"/>
    </dxf>
    <dxf>
      <numFmt numFmtId="164" formatCode="0.0"/>
    </dxf>
    <dxf>
      <numFmt numFmtId="2" formatCode="0.00"/>
    </dxf>
    <dxf>
      <numFmt numFmtId="164" formatCode="0.0"/>
    </dxf>
    <dxf>
      <numFmt numFmtId="168" formatCode="0.000000000"/>
    </dxf>
    <dxf>
      <numFmt numFmtId="167" formatCode="0.00000000"/>
    </dxf>
    <dxf>
      <numFmt numFmtId="166" formatCode="0.0000000"/>
    </dxf>
    <dxf>
      <numFmt numFmtId="165" formatCode="0.000000"/>
    </dxf>
    <dxf>
      <numFmt numFmtId="164" formatCode="0.0"/>
    </dxf>
    <dxf>
      <numFmt numFmtId="2" formatCode="0.00"/>
    </dxf>
    <dxf>
      <numFmt numFmtId="164" formatCode="0.0"/>
    </dxf>
    <dxf>
      <numFmt numFmtId="168" formatCode="0.000000000"/>
    </dxf>
    <dxf>
      <numFmt numFmtId="167" formatCode="0.00000000"/>
    </dxf>
    <dxf>
      <numFmt numFmtId="166" formatCode="0.0000000"/>
    </dxf>
    <dxf>
      <numFmt numFmtId="165" formatCode="0.000000"/>
    </dxf>
    <dxf>
      <numFmt numFmtId="164" formatCode="0.0"/>
    </dxf>
    <dxf>
      <numFmt numFmtId="2" formatCode="0.00"/>
    </dxf>
    <dxf>
      <numFmt numFmtId="164" formatCode="0.0"/>
    </dxf>
    <dxf>
      <numFmt numFmtId="168" formatCode="0.000000000"/>
    </dxf>
    <dxf>
      <numFmt numFmtId="167" formatCode="0.00000000"/>
    </dxf>
    <dxf>
      <numFmt numFmtId="166" formatCode="0.0000000"/>
    </dxf>
    <dxf>
      <numFmt numFmtId="165" formatCode="0.000000"/>
    </dxf>
    <dxf>
      <numFmt numFmtId="164" formatCode="0.0"/>
    </dxf>
    <dxf>
      <numFmt numFmtId="2" formatCode="0.00"/>
    </dxf>
    <dxf>
      <numFmt numFmtId="164" formatCode="0.0"/>
    </dxf>
    <dxf>
      <numFmt numFmtId="168" formatCode="0.000000000"/>
    </dxf>
    <dxf>
      <numFmt numFmtId="167" formatCode="0.00000000"/>
    </dxf>
    <dxf>
      <numFmt numFmtId="166" formatCode="0.0000000"/>
    </dxf>
    <dxf>
      <numFmt numFmtId="165" formatCode="0.000000"/>
    </dxf>
    <dxf>
      <numFmt numFmtId="164" formatCode="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0.0"/>
    </dxf>
    <dxf>
      <numFmt numFmtId="165" formatCode="0.000000"/>
    </dxf>
    <dxf>
      <numFmt numFmtId="166" formatCode="0.0000000"/>
    </dxf>
    <dxf>
      <numFmt numFmtId="167" formatCode="0.00000000"/>
    </dxf>
    <dxf>
      <numFmt numFmtId="168" formatCode="0.000000000"/>
    </dxf>
    <dxf>
      <numFmt numFmtId="164" formatCode="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[Kenya_Diarrhea_Analysis.xlsx]PT_Prevalence!PivotTable1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Prevalence</a:t>
            </a:r>
            <a:r>
              <a:rPr lang="en-US" baseline="0"/>
              <a:t> of Diarrhea in Kenya (1989-2022)</a:t>
            </a:r>
          </a:p>
          <a:p>
            <a:pPr>
              <a:defRPr/>
            </a:pP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lineChart>
        <c:grouping val="standard"/>
        <c:varyColors val="0"/>
        <c:ser>
          <c:idx val="0"/>
          <c:order val="0"/>
          <c:tx>
            <c:strRef>
              <c:f>PT_Prevalence!$B$3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PT_Prevalence!$A$4:$A$10</c:f>
              <c:strCache>
                <c:ptCount val="6"/>
                <c:pt idx="0">
                  <c:v>1989</c:v>
                </c:pt>
                <c:pt idx="1">
                  <c:v>1993</c:v>
                </c:pt>
                <c:pt idx="2">
                  <c:v>2003</c:v>
                </c:pt>
                <c:pt idx="3">
                  <c:v>2008</c:v>
                </c:pt>
                <c:pt idx="4">
                  <c:v>2014</c:v>
                </c:pt>
                <c:pt idx="5">
                  <c:v>2022</c:v>
                </c:pt>
              </c:strCache>
            </c:strRef>
          </c:cat>
          <c:val>
            <c:numRef>
              <c:f>PT_Prevalence!$B$4:$B$10</c:f>
              <c:numCache>
                <c:formatCode>0.0</c:formatCode>
                <c:ptCount val="6"/>
                <c:pt idx="0">
                  <c:v>12.7</c:v>
                </c:pt>
                <c:pt idx="1">
                  <c:v>30.066666666666666</c:v>
                </c:pt>
                <c:pt idx="2">
                  <c:v>43.55</c:v>
                </c:pt>
                <c:pt idx="3">
                  <c:v>32.533333333333331</c:v>
                </c:pt>
                <c:pt idx="4">
                  <c:v>36.56666666666667</c:v>
                </c:pt>
                <c:pt idx="5">
                  <c:v>14.3</c:v>
                </c:pt>
              </c:numCache>
            </c:numRef>
          </c:val>
          <c:smooth val="0"/>
          <c:extLst>
            <c:ext xmlns:c16="http://schemas.microsoft.com/office/drawing/2014/chart" uri="{C3380CC4-5D6E-409C-BE32-E72D297353CC}">
              <c16:uniqueId val="{00000000-17E0-4BE6-8537-AE25A9861E5A}"/>
            </c:ext>
          </c:extLst>
        </c:ser>
        <c:dLbls>
          <c:showLegendKey val="0"/>
          <c:showVal val="0"/>
          <c:showCatName val="0"/>
          <c:showSerName val="0"/>
          <c:showPercent val="0"/>
          <c:showBubbleSize val="0"/>
        </c:dLbls>
        <c:smooth val="0"/>
        <c:axId val="1277607423"/>
        <c:axId val="1277602847"/>
      </c:lineChart>
      <c:catAx>
        <c:axId val="1277607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7602847"/>
        <c:crosses val="autoZero"/>
        <c:auto val="1"/>
        <c:lblAlgn val="ctr"/>
        <c:lblOffset val="100"/>
        <c:noMultiLvlLbl val="0"/>
      </c:catAx>
      <c:valAx>
        <c:axId val="1277602847"/>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760742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[Kenya_Diarrhea_Analysis.xlsx]PT_Treatment!PivotTable2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Diarrhea Treatment Methods in Kenya</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3"/>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1"/>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3"/>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5"/>
        <c:spPr>
          <a:solidFill>
            <a:schemeClr val="accent1"/>
          </a:solidFill>
          <a:ln>
            <a:noFill/>
          </a:ln>
          <a:effectLst/>
        </c:spPr>
        <c:marker>
          <c:symbol val="none"/>
        </c:marker>
      </c:pivotFmt>
    </c:pivotFmts>
    <c:plotArea>
      <c:layout/>
      <c:barChart>
        <c:barDir val="bar"/>
        <c:grouping val="clustered"/>
        <c:varyColors val="0"/>
        <c:ser>
          <c:idx val="0"/>
          <c:order val="0"/>
          <c:tx>
            <c:strRef>
              <c:f>PT_Treatment!$B$3:$B$4</c:f>
              <c:strCache>
                <c:ptCount val="1"/>
                <c:pt idx="0">
                  <c:v>1993</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PT_Treatment!$A$5:$A$10</c:f>
              <c:strCache>
                <c:ptCount val="5"/>
                <c:pt idx="0">
                  <c:v>Advice Sought</c:v>
                </c:pt>
                <c:pt idx="1">
                  <c:v>Antibiotics</c:v>
                </c:pt>
                <c:pt idx="2">
                  <c:v>Increased Fluids</c:v>
                </c:pt>
                <c:pt idx="3">
                  <c:v>No Treatment</c:v>
                </c:pt>
                <c:pt idx="4">
                  <c:v>ORS</c:v>
                </c:pt>
              </c:strCache>
            </c:strRef>
          </c:cat>
          <c:val>
            <c:numRef>
              <c:f>PT_Treatment!$B$5:$B$10</c:f>
              <c:numCache>
                <c:formatCode>0.00</c:formatCode>
                <c:ptCount val="5"/>
                <c:pt idx="0">
                  <c:v>55.9</c:v>
                </c:pt>
                <c:pt idx="1">
                  <c:v>16.7</c:v>
                </c:pt>
                <c:pt idx="2">
                  <c:v>43.9</c:v>
                </c:pt>
                <c:pt idx="3">
                  <c:v>18.2</c:v>
                </c:pt>
                <c:pt idx="4">
                  <c:v>31.6</c:v>
                </c:pt>
              </c:numCache>
            </c:numRef>
          </c:val>
          <c:extLst>
            <c:ext xmlns:c16="http://schemas.microsoft.com/office/drawing/2014/chart" uri="{C3380CC4-5D6E-409C-BE32-E72D297353CC}">
              <c16:uniqueId val="{00000000-A2FB-435C-903D-EB276823C33C}"/>
            </c:ext>
          </c:extLst>
        </c:ser>
        <c:ser>
          <c:idx val="1"/>
          <c:order val="1"/>
          <c:tx>
            <c:strRef>
              <c:f>PT_Treatment!$C$3:$C$4</c:f>
              <c:strCache>
                <c:ptCount val="1"/>
                <c:pt idx="0">
                  <c:v>2003</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PT_Treatment!$A$5:$A$10</c:f>
              <c:strCache>
                <c:ptCount val="5"/>
                <c:pt idx="0">
                  <c:v>Advice Sought</c:v>
                </c:pt>
                <c:pt idx="1">
                  <c:v>Antibiotics</c:v>
                </c:pt>
                <c:pt idx="2">
                  <c:v>Increased Fluids</c:v>
                </c:pt>
                <c:pt idx="3">
                  <c:v>No Treatment</c:v>
                </c:pt>
                <c:pt idx="4">
                  <c:v>ORS</c:v>
                </c:pt>
              </c:strCache>
            </c:strRef>
          </c:cat>
          <c:val>
            <c:numRef>
              <c:f>PT_Treatment!$C$5:$C$10</c:f>
              <c:numCache>
                <c:formatCode>0.00</c:formatCode>
                <c:ptCount val="5"/>
                <c:pt idx="0">
                  <c:v>36.4</c:v>
                </c:pt>
                <c:pt idx="2">
                  <c:v>34.200000000000003</c:v>
                </c:pt>
                <c:pt idx="3">
                  <c:v>31.8</c:v>
                </c:pt>
                <c:pt idx="4">
                  <c:v>29.2</c:v>
                </c:pt>
              </c:numCache>
            </c:numRef>
          </c:val>
          <c:extLst>
            <c:ext xmlns:c16="http://schemas.microsoft.com/office/drawing/2014/chart" uri="{C3380CC4-5D6E-409C-BE32-E72D297353CC}">
              <c16:uniqueId val="{00000000-6487-4DC8-8075-3A716983C9F5}"/>
            </c:ext>
          </c:extLst>
        </c:ser>
        <c:ser>
          <c:idx val="2"/>
          <c:order val="2"/>
          <c:tx>
            <c:strRef>
              <c:f>PT_Treatment!$D$3:$D$4</c:f>
              <c:strCache>
                <c:ptCount val="1"/>
                <c:pt idx="0">
                  <c:v>2008</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PT_Treatment!$A$5:$A$10</c:f>
              <c:strCache>
                <c:ptCount val="5"/>
                <c:pt idx="0">
                  <c:v>Advice Sought</c:v>
                </c:pt>
                <c:pt idx="1">
                  <c:v>Antibiotics</c:v>
                </c:pt>
                <c:pt idx="2">
                  <c:v>Increased Fluids</c:v>
                </c:pt>
                <c:pt idx="3">
                  <c:v>No Treatment</c:v>
                </c:pt>
                <c:pt idx="4">
                  <c:v>ORS</c:v>
                </c:pt>
              </c:strCache>
            </c:strRef>
          </c:cat>
          <c:val>
            <c:numRef>
              <c:f>PT_Treatment!$D$5:$D$10</c:f>
              <c:numCache>
                <c:formatCode>0.00</c:formatCode>
                <c:ptCount val="5"/>
                <c:pt idx="0">
                  <c:v>58</c:v>
                </c:pt>
                <c:pt idx="1">
                  <c:v>14.2</c:v>
                </c:pt>
                <c:pt idx="2">
                  <c:v>26.1</c:v>
                </c:pt>
                <c:pt idx="3">
                  <c:v>13</c:v>
                </c:pt>
                <c:pt idx="4">
                  <c:v>71.5</c:v>
                </c:pt>
              </c:numCache>
            </c:numRef>
          </c:val>
          <c:extLst>
            <c:ext xmlns:c16="http://schemas.microsoft.com/office/drawing/2014/chart" uri="{C3380CC4-5D6E-409C-BE32-E72D297353CC}">
              <c16:uniqueId val="{00000001-6487-4DC8-8075-3A716983C9F5}"/>
            </c:ext>
          </c:extLst>
        </c:ser>
        <c:ser>
          <c:idx val="3"/>
          <c:order val="3"/>
          <c:tx>
            <c:strRef>
              <c:f>PT_Treatment!$E$3:$E$4</c:f>
              <c:strCache>
                <c:ptCount val="1"/>
                <c:pt idx="0">
                  <c:v>2014</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PT_Treatment!$A$5:$A$10</c:f>
              <c:strCache>
                <c:ptCount val="5"/>
                <c:pt idx="0">
                  <c:v>Advice Sought</c:v>
                </c:pt>
                <c:pt idx="1">
                  <c:v>Antibiotics</c:v>
                </c:pt>
                <c:pt idx="2">
                  <c:v>Increased Fluids</c:v>
                </c:pt>
                <c:pt idx="3">
                  <c:v>No Treatment</c:v>
                </c:pt>
                <c:pt idx="4">
                  <c:v>ORS</c:v>
                </c:pt>
              </c:strCache>
            </c:strRef>
          </c:cat>
          <c:val>
            <c:numRef>
              <c:f>PT_Treatment!$E$5:$E$10</c:f>
              <c:numCache>
                <c:formatCode>0.00</c:formatCode>
                <c:ptCount val="5"/>
                <c:pt idx="0">
                  <c:v>66</c:v>
                </c:pt>
                <c:pt idx="1">
                  <c:v>15.9</c:v>
                </c:pt>
                <c:pt idx="2">
                  <c:v>21.5</c:v>
                </c:pt>
                <c:pt idx="3">
                  <c:v>18.2</c:v>
                </c:pt>
                <c:pt idx="4">
                  <c:v>53.8</c:v>
                </c:pt>
              </c:numCache>
            </c:numRef>
          </c:val>
          <c:extLst>
            <c:ext xmlns:c16="http://schemas.microsoft.com/office/drawing/2014/chart" uri="{C3380CC4-5D6E-409C-BE32-E72D297353CC}">
              <c16:uniqueId val="{00000002-6487-4DC8-8075-3A716983C9F5}"/>
            </c:ext>
          </c:extLst>
        </c:ser>
        <c:ser>
          <c:idx val="4"/>
          <c:order val="4"/>
          <c:tx>
            <c:strRef>
              <c:f>PT_Treatment!$F$3:$F$4</c:f>
              <c:strCache>
                <c:ptCount val="1"/>
                <c:pt idx="0">
                  <c:v>2022</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PT_Treatment!$A$5:$A$10</c:f>
              <c:strCache>
                <c:ptCount val="5"/>
                <c:pt idx="0">
                  <c:v>Advice Sought</c:v>
                </c:pt>
                <c:pt idx="1">
                  <c:v>Antibiotics</c:v>
                </c:pt>
                <c:pt idx="2">
                  <c:v>Increased Fluids</c:v>
                </c:pt>
                <c:pt idx="3">
                  <c:v>No Treatment</c:v>
                </c:pt>
                <c:pt idx="4">
                  <c:v>ORS</c:v>
                </c:pt>
              </c:strCache>
            </c:strRef>
          </c:cat>
          <c:val>
            <c:numRef>
              <c:f>PT_Treatment!$F$5:$F$10</c:f>
              <c:numCache>
                <c:formatCode>0.00</c:formatCode>
                <c:ptCount val="5"/>
                <c:pt idx="0">
                  <c:v>58.1</c:v>
                </c:pt>
                <c:pt idx="1">
                  <c:v>14.3</c:v>
                </c:pt>
                <c:pt idx="2">
                  <c:v>28.3</c:v>
                </c:pt>
                <c:pt idx="3">
                  <c:v>18.600000000000001</c:v>
                </c:pt>
                <c:pt idx="4">
                  <c:v>48.3</c:v>
                </c:pt>
              </c:numCache>
            </c:numRef>
          </c:val>
          <c:extLst>
            <c:ext xmlns:c16="http://schemas.microsoft.com/office/drawing/2014/chart" uri="{C3380CC4-5D6E-409C-BE32-E72D297353CC}">
              <c16:uniqueId val="{00000003-6487-4DC8-8075-3A716983C9F5}"/>
            </c:ext>
          </c:extLst>
        </c:ser>
        <c:dLbls>
          <c:dLblPos val="outEnd"/>
          <c:showLegendKey val="0"/>
          <c:showVal val="1"/>
          <c:showCatName val="0"/>
          <c:showSerName val="0"/>
          <c:showPercent val="0"/>
          <c:showBubbleSize val="0"/>
        </c:dLbls>
        <c:gapWidth val="182"/>
        <c:axId val="1050939727"/>
        <c:axId val="1050945967"/>
      </c:barChart>
      <c:catAx>
        <c:axId val="10509397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0945967"/>
        <c:crosses val="autoZero"/>
        <c:auto val="1"/>
        <c:lblAlgn val="ctr"/>
        <c:lblOffset val="100"/>
        <c:noMultiLvlLbl val="0"/>
      </c:catAx>
      <c:valAx>
        <c:axId val="1050945967"/>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0939727"/>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[Kenya_Diarrhea_Analysis.xlsx]PT_Feeding!PivotTable3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Feeding</a:t>
            </a:r>
            <a:r>
              <a:rPr lang="en-US" baseline="0"/>
              <a:t> Practices During Diarrhea in Kenya</a:t>
            </a:r>
          </a:p>
          <a:p>
            <a:pPr>
              <a:defRPr/>
            </a:pP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w="28575" cap="rnd">
            <a:solidFill>
              <a:schemeClr val="accent1"/>
            </a:solidFill>
            <a:round/>
          </a:ln>
          <a:effectLst/>
        </c:spPr>
        <c:marker>
          <c:symbol val="none"/>
        </c:marker>
      </c:pivotFmt>
      <c:pivotFmt>
        <c:idx val="5"/>
        <c:spPr>
          <a:solidFill>
            <a:schemeClr val="accent1"/>
          </a:solidFill>
          <a:ln w="28575" cap="rnd">
            <a:solidFill>
              <a:schemeClr val="accent1"/>
            </a:solidFill>
            <a:round/>
          </a:ln>
          <a:effectLst/>
        </c:spPr>
        <c:marker>
          <c:symbol val="none"/>
        </c:marker>
      </c:pivotFmt>
      <c:pivotFmt>
        <c:idx val="6"/>
        <c:spPr>
          <a:solidFill>
            <a:schemeClr val="accent1"/>
          </a:solidFill>
          <a:ln w="28575" cap="rnd">
            <a:solidFill>
              <a:schemeClr val="accent1"/>
            </a:solidFill>
            <a:round/>
          </a:ln>
          <a:effectLst/>
        </c:spPr>
        <c:marker>
          <c:symbol val="none"/>
        </c:marker>
      </c:pivotFmt>
      <c:pivotFmt>
        <c:idx val="7"/>
        <c:spPr>
          <a:solidFill>
            <a:schemeClr val="accent1"/>
          </a:solidFill>
          <a:ln w="28575" cap="rnd">
            <a:solidFill>
              <a:schemeClr val="accent2"/>
            </a:solidFill>
            <a:round/>
          </a:ln>
          <a:effectLst/>
        </c:spPr>
        <c:marker>
          <c:symbol val="none"/>
        </c:marker>
      </c:pivotFmt>
      <c:pivotFmt>
        <c:idx val="8"/>
        <c:spPr>
          <a:solidFill>
            <a:schemeClr val="accent1"/>
          </a:solidFill>
          <a:ln w="28575" cap="rnd">
            <a:solidFill>
              <a:schemeClr val="accent3"/>
            </a:solidFill>
            <a:round/>
          </a:ln>
          <a:effectLst/>
        </c:spPr>
        <c:marker>
          <c:symbol val="none"/>
        </c:marker>
      </c:pivotFmt>
      <c:pivotFmt>
        <c:idx val="9"/>
        <c:spPr>
          <a:solidFill>
            <a:schemeClr val="accent1"/>
          </a:solidFill>
          <a:ln w="28575" cap="rnd">
            <a:solidFill>
              <a:schemeClr val="accent4"/>
            </a:solidFill>
            <a:round/>
          </a:ln>
          <a:effectLst/>
        </c:spPr>
        <c:marker>
          <c:symbol val="none"/>
        </c:marker>
      </c:pivotFmt>
      <c:pivotFmt>
        <c:idx val="10"/>
        <c:spPr>
          <a:solidFill>
            <a:schemeClr val="accent1"/>
          </a:solidFill>
          <a:ln w="28575" cap="rnd">
            <a:solidFill>
              <a:schemeClr val="accent5"/>
            </a:solidFill>
            <a:round/>
          </a:ln>
          <a:effectLst/>
        </c:spPr>
        <c:marker>
          <c:symbol val="none"/>
        </c:marker>
      </c:pivotFmt>
      <c:pivotFmt>
        <c:idx val="11"/>
        <c:spPr>
          <a:solidFill>
            <a:schemeClr val="accent1"/>
          </a:solidFill>
          <a:ln w="28575" cap="rnd">
            <a:solidFill>
              <a:schemeClr val="accent6"/>
            </a:solidFill>
            <a:round/>
          </a:ln>
          <a:effectLst/>
        </c:spPr>
        <c:marker>
          <c:symbol val="none"/>
        </c:marker>
      </c:pivotFmt>
      <c:pivotFmt>
        <c:idx val="12"/>
        <c:spPr>
          <a:ln w="28575" cap="rnd">
            <a:solidFill>
              <a:schemeClr val="accent1"/>
            </a:solidFill>
            <a:round/>
          </a:ln>
          <a:effectLst/>
        </c:spPr>
        <c:marker>
          <c:symbol val="none"/>
        </c:marker>
      </c:pivotFmt>
      <c:pivotFmt>
        <c:idx val="13"/>
        <c:spPr>
          <a:ln w="28575" cap="rnd">
            <a:solidFill>
              <a:schemeClr val="accent1"/>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
        <c:idx val="14"/>
        <c:spPr>
          <a:ln w="28575" cap="rnd">
            <a:solidFill>
              <a:schemeClr val="accent1"/>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
        <c:idx val="15"/>
        <c:spPr>
          <a:ln w="28575" cap="rnd">
            <a:solidFill>
              <a:schemeClr val="accent1"/>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
        <c:idx val="16"/>
        <c:spPr>
          <a:ln w="28575" cap="rnd">
            <a:solidFill>
              <a:schemeClr val="accent1"/>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
        <c:idx val="17"/>
        <c:spPr>
          <a:ln w="28575" cap="rnd">
            <a:solidFill>
              <a:schemeClr val="accent1"/>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2.2666851227321747E-2"/>
          <c:y val="0.19603405819403158"/>
          <c:w val="0.80798658471433227"/>
          <c:h val="0.69707207413259886"/>
        </c:manualLayout>
      </c:layout>
      <c:lineChart>
        <c:grouping val="standard"/>
        <c:varyColors val="0"/>
        <c:ser>
          <c:idx val="0"/>
          <c:order val="0"/>
          <c:tx>
            <c:strRef>
              <c:f>PT_Feeding!$B$3:$B$4</c:f>
              <c:strCache>
                <c:ptCount val="1"/>
                <c:pt idx="0">
                  <c:v>1989</c:v>
                </c:pt>
              </c:strCache>
            </c:strRef>
          </c:tx>
          <c:spPr>
            <a:ln w="28575" cap="rnd">
              <a:solidFill>
                <a:schemeClr val="accent1"/>
              </a:solidFill>
              <a:round/>
            </a:ln>
            <a:effectLst/>
          </c:spPr>
          <c:marker>
            <c:symbol val="none"/>
          </c:marker>
          <c:dLbls>
            <c:delete val="1"/>
          </c:dLbls>
          <c:cat>
            <c:strRef>
              <c:f>PT_Feeding!$A$5:$A$8</c:f>
              <c:strCache>
                <c:ptCount val="3"/>
                <c:pt idx="0">
                  <c:v>More Fluids Given</c:v>
                </c:pt>
                <c:pt idx="1">
                  <c:v>ORT+Continued Feeding</c:v>
                </c:pt>
                <c:pt idx="2">
                  <c:v>Same Fluids</c:v>
                </c:pt>
              </c:strCache>
            </c:strRef>
          </c:cat>
          <c:val>
            <c:numRef>
              <c:f>PT_Feeding!$B$5:$B$8</c:f>
              <c:numCache>
                <c:formatCode>0.00</c:formatCode>
                <c:ptCount val="3"/>
                <c:pt idx="0">
                  <c:v>28.7</c:v>
                </c:pt>
                <c:pt idx="2">
                  <c:v>71.3</c:v>
                </c:pt>
              </c:numCache>
            </c:numRef>
          </c:val>
          <c:smooth val="0"/>
          <c:extLst>
            <c:ext xmlns:c16="http://schemas.microsoft.com/office/drawing/2014/chart" uri="{C3380CC4-5D6E-409C-BE32-E72D297353CC}">
              <c16:uniqueId val="{00000000-BD51-4E54-B0C9-4D722A74EF86}"/>
            </c:ext>
          </c:extLst>
        </c:ser>
        <c:ser>
          <c:idx val="1"/>
          <c:order val="1"/>
          <c:tx>
            <c:strRef>
              <c:f>PT_Feeding!$C$3:$C$4</c:f>
              <c:strCache>
                <c:ptCount val="1"/>
                <c:pt idx="0">
                  <c:v>1993</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PT_Feeding!$A$5:$A$8</c:f>
              <c:strCache>
                <c:ptCount val="3"/>
                <c:pt idx="0">
                  <c:v>More Fluids Given</c:v>
                </c:pt>
                <c:pt idx="1">
                  <c:v>ORT+Continued Feeding</c:v>
                </c:pt>
                <c:pt idx="2">
                  <c:v>Same Fluids</c:v>
                </c:pt>
              </c:strCache>
            </c:strRef>
          </c:cat>
          <c:val>
            <c:numRef>
              <c:f>PT_Feeding!$C$5:$C$8</c:f>
              <c:numCache>
                <c:formatCode>0.00</c:formatCode>
                <c:ptCount val="3"/>
                <c:pt idx="0">
                  <c:v>43.9</c:v>
                </c:pt>
                <c:pt idx="2">
                  <c:v>39.299999999999997</c:v>
                </c:pt>
              </c:numCache>
            </c:numRef>
          </c:val>
          <c:smooth val="0"/>
          <c:extLst>
            <c:ext xmlns:c16="http://schemas.microsoft.com/office/drawing/2014/chart" uri="{C3380CC4-5D6E-409C-BE32-E72D297353CC}">
              <c16:uniqueId val="{00000000-E735-4E8C-880D-F9F01B08B90E}"/>
            </c:ext>
          </c:extLst>
        </c:ser>
        <c:ser>
          <c:idx val="2"/>
          <c:order val="2"/>
          <c:tx>
            <c:strRef>
              <c:f>PT_Feeding!$D$3:$D$4</c:f>
              <c:strCache>
                <c:ptCount val="1"/>
                <c:pt idx="0">
                  <c:v>2003</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PT_Feeding!$A$5:$A$8</c:f>
              <c:strCache>
                <c:ptCount val="3"/>
                <c:pt idx="0">
                  <c:v>More Fluids Given</c:v>
                </c:pt>
                <c:pt idx="1">
                  <c:v>ORT+Continued Feeding</c:v>
                </c:pt>
                <c:pt idx="2">
                  <c:v>Same Fluids</c:v>
                </c:pt>
              </c:strCache>
            </c:strRef>
          </c:cat>
          <c:val>
            <c:numRef>
              <c:f>PT_Feeding!$D$5:$D$8</c:f>
              <c:numCache>
                <c:formatCode>0.00</c:formatCode>
                <c:ptCount val="3"/>
                <c:pt idx="0">
                  <c:v>34.200000000000003</c:v>
                </c:pt>
                <c:pt idx="1">
                  <c:v>19</c:v>
                </c:pt>
                <c:pt idx="2">
                  <c:v>32.9</c:v>
                </c:pt>
              </c:numCache>
            </c:numRef>
          </c:val>
          <c:smooth val="0"/>
          <c:extLst>
            <c:ext xmlns:c16="http://schemas.microsoft.com/office/drawing/2014/chart" uri="{C3380CC4-5D6E-409C-BE32-E72D297353CC}">
              <c16:uniqueId val="{00000001-E735-4E8C-880D-F9F01B08B90E}"/>
            </c:ext>
          </c:extLst>
        </c:ser>
        <c:ser>
          <c:idx val="3"/>
          <c:order val="3"/>
          <c:tx>
            <c:strRef>
              <c:f>PT_Feeding!$E$3:$E$4</c:f>
              <c:strCache>
                <c:ptCount val="1"/>
                <c:pt idx="0">
                  <c:v>2008</c:v>
                </c:pt>
              </c:strCache>
            </c:strRef>
          </c:tx>
          <c:spPr>
            <a:ln w="28575" cap="rnd">
              <a:solidFill>
                <a:schemeClr val="accent4"/>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PT_Feeding!$A$5:$A$8</c:f>
              <c:strCache>
                <c:ptCount val="3"/>
                <c:pt idx="0">
                  <c:v>More Fluids Given</c:v>
                </c:pt>
                <c:pt idx="1">
                  <c:v>ORT+Continued Feeding</c:v>
                </c:pt>
                <c:pt idx="2">
                  <c:v>Same Fluids</c:v>
                </c:pt>
              </c:strCache>
            </c:strRef>
          </c:cat>
          <c:val>
            <c:numRef>
              <c:f>PT_Feeding!$E$5:$E$8</c:f>
              <c:numCache>
                <c:formatCode>0.00</c:formatCode>
                <c:ptCount val="3"/>
                <c:pt idx="0">
                  <c:v>26.1</c:v>
                </c:pt>
                <c:pt idx="1">
                  <c:v>38.9</c:v>
                </c:pt>
                <c:pt idx="2">
                  <c:v>31.7</c:v>
                </c:pt>
              </c:numCache>
            </c:numRef>
          </c:val>
          <c:smooth val="0"/>
          <c:extLst>
            <c:ext xmlns:c16="http://schemas.microsoft.com/office/drawing/2014/chart" uri="{C3380CC4-5D6E-409C-BE32-E72D297353CC}">
              <c16:uniqueId val="{00000002-E735-4E8C-880D-F9F01B08B90E}"/>
            </c:ext>
          </c:extLst>
        </c:ser>
        <c:ser>
          <c:idx val="4"/>
          <c:order val="4"/>
          <c:tx>
            <c:strRef>
              <c:f>PT_Feeding!$F$3:$F$4</c:f>
              <c:strCache>
                <c:ptCount val="1"/>
                <c:pt idx="0">
                  <c:v>2014</c:v>
                </c:pt>
              </c:strCache>
            </c:strRef>
          </c:tx>
          <c:spPr>
            <a:ln w="28575" cap="rnd">
              <a:solidFill>
                <a:schemeClr val="accent5"/>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PT_Feeding!$A$5:$A$8</c:f>
              <c:strCache>
                <c:ptCount val="3"/>
                <c:pt idx="0">
                  <c:v>More Fluids Given</c:v>
                </c:pt>
                <c:pt idx="1">
                  <c:v>ORT+Continued Feeding</c:v>
                </c:pt>
                <c:pt idx="2">
                  <c:v>Same Fluids</c:v>
                </c:pt>
              </c:strCache>
            </c:strRef>
          </c:cat>
          <c:val>
            <c:numRef>
              <c:f>PT_Feeding!$F$5:$F$8</c:f>
              <c:numCache>
                <c:formatCode>0.00</c:formatCode>
                <c:ptCount val="3"/>
                <c:pt idx="0">
                  <c:v>21.5</c:v>
                </c:pt>
                <c:pt idx="1">
                  <c:v>34.200000000000003</c:v>
                </c:pt>
                <c:pt idx="2">
                  <c:v>36.9</c:v>
                </c:pt>
              </c:numCache>
            </c:numRef>
          </c:val>
          <c:smooth val="0"/>
          <c:extLst>
            <c:ext xmlns:c16="http://schemas.microsoft.com/office/drawing/2014/chart" uri="{C3380CC4-5D6E-409C-BE32-E72D297353CC}">
              <c16:uniqueId val="{00000003-E735-4E8C-880D-F9F01B08B90E}"/>
            </c:ext>
          </c:extLst>
        </c:ser>
        <c:ser>
          <c:idx val="5"/>
          <c:order val="5"/>
          <c:tx>
            <c:strRef>
              <c:f>PT_Feeding!$G$3:$G$4</c:f>
              <c:strCache>
                <c:ptCount val="1"/>
                <c:pt idx="0">
                  <c:v>2022</c:v>
                </c:pt>
              </c:strCache>
            </c:strRef>
          </c:tx>
          <c:spPr>
            <a:ln w="28575" cap="rnd">
              <a:solidFill>
                <a:schemeClr val="accent6"/>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PT_Feeding!$A$5:$A$8</c:f>
              <c:strCache>
                <c:ptCount val="3"/>
                <c:pt idx="0">
                  <c:v>More Fluids Given</c:v>
                </c:pt>
                <c:pt idx="1">
                  <c:v>ORT+Continued Feeding</c:v>
                </c:pt>
                <c:pt idx="2">
                  <c:v>Same Fluids</c:v>
                </c:pt>
              </c:strCache>
            </c:strRef>
          </c:cat>
          <c:val>
            <c:numRef>
              <c:f>PT_Feeding!$G$5:$G$8</c:f>
              <c:numCache>
                <c:formatCode>0.00</c:formatCode>
                <c:ptCount val="3"/>
                <c:pt idx="0">
                  <c:v>28.3</c:v>
                </c:pt>
                <c:pt idx="1">
                  <c:v>31.1</c:v>
                </c:pt>
                <c:pt idx="2">
                  <c:v>35.6</c:v>
                </c:pt>
              </c:numCache>
            </c:numRef>
          </c:val>
          <c:smooth val="0"/>
          <c:extLst>
            <c:ext xmlns:c16="http://schemas.microsoft.com/office/drawing/2014/chart" uri="{C3380CC4-5D6E-409C-BE32-E72D297353CC}">
              <c16:uniqueId val="{00000004-E735-4E8C-880D-F9F01B08B90E}"/>
            </c:ext>
          </c:extLst>
        </c:ser>
        <c:dLbls>
          <c:dLblPos val="t"/>
          <c:showLegendKey val="0"/>
          <c:showVal val="1"/>
          <c:showCatName val="0"/>
          <c:showSerName val="0"/>
          <c:showPercent val="0"/>
          <c:showBubbleSize val="0"/>
        </c:dLbls>
        <c:smooth val="0"/>
        <c:axId val="1125278832"/>
        <c:axId val="1125280496"/>
      </c:lineChart>
      <c:catAx>
        <c:axId val="1125278832"/>
        <c:scaling>
          <c:orientation val="minMax"/>
        </c:scaling>
        <c:delete val="1"/>
        <c:axPos val="b"/>
        <c:numFmt formatCode="General" sourceLinked="1"/>
        <c:majorTickMark val="none"/>
        <c:minorTickMark val="none"/>
        <c:tickLblPos val="nextTo"/>
        <c:crossAx val="1125280496"/>
        <c:crosses val="autoZero"/>
        <c:auto val="1"/>
        <c:lblAlgn val="ctr"/>
        <c:lblOffset val="100"/>
        <c:noMultiLvlLbl val="0"/>
      </c:catAx>
      <c:valAx>
        <c:axId val="1125280496"/>
        <c:scaling>
          <c:orientation val="minMax"/>
        </c:scaling>
        <c:delete val="1"/>
        <c:axPos val="l"/>
        <c:numFmt formatCode="0.00" sourceLinked="1"/>
        <c:majorTickMark val="none"/>
        <c:minorTickMark val="none"/>
        <c:tickLblPos val="nextTo"/>
        <c:crossAx val="112527883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45357</xdr:colOff>
      <xdr:row>4</xdr:row>
      <xdr:rowOff>22326</xdr:rowOff>
    </xdr:from>
    <xdr:to>
      <xdr:col>6</xdr:col>
      <xdr:colOff>203099</xdr:colOff>
      <xdr:row>18</xdr:row>
      <xdr:rowOff>182387</xdr:rowOff>
    </xdr:to>
    <xdr:graphicFrame macro="">
      <xdr:nvGraphicFramePr>
        <xdr:cNvPr id="9" name="Prevalance Chart."/>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218722</xdr:colOff>
      <xdr:row>4</xdr:row>
      <xdr:rowOff>11238</xdr:rowOff>
    </xdr:from>
    <xdr:to>
      <xdr:col>14</xdr:col>
      <xdr:colOff>164294</xdr:colOff>
      <xdr:row>19</xdr:row>
      <xdr:rowOff>28222</xdr:rowOff>
    </xdr:to>
    <xdr:graphicFrame macro="">
      <xdr:nvGraphicFramePr>
        <xdr:cNvPr id="10" name="Treatment methods chart"/>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35278</xdr:colOff>
      <xdr:row>19</xdr:row>
      <xdr:rowOff>14817</xdr:rowOff>
    </xdr:from>
    <xdr:to>
      <xdr:col>14</xdr:col>
      <xdr:colOff>162278</xdr:colOff>
      <xdr:row>33</xdr:row>
      <xdr:rowOff>179212</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15</xdr:col>
      <xdr:colOff>0</xdr:colOff>
      <xdr:row>5</xdr:row>
      <xdr:rowOff>0</xdr:rowOff>
    </xdr:from>
    <xdr:to>
      <xdr:col>18</xdr:col>
      <xdr:colOff>8467</xdr:colOff>
      <xdr:row>18</xdr:row>
      <xdr:rowOff>139347</xdr:rowOff>
    </xdr:to>
    <mc:AlternateContent xmlns:mc="http://schemas.openxmlformats.org/markup-compatibility/2006">
      <mc:Choice xmlns:a14="http://schemas.microsoft.com/office/drawing/2010/main" Requires="a14">
        <xdr:graphicFrame macro="">
          <xdr:nvGraphicFramePr>
            <xdr:cNvPr id="6" name="Yea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0406063" y="1270000"/>
              <a:ext cx="1842029" cy="25126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Kenya_Diarrhea_Analysis.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uthor" refreshedDate="46096.680628240741" createdVersion="6" refreshedVersion="6" minRefreshableVersion="3" recordCount="153">
  <cacheSource type="worksheet">
    <worksheetSource name="diarrhea_national_ken" r:id="rId2"/>
  </cacheSource>
  <cacheFields count="8">
    <cacheField name="Indicator" numFmtId="0">
      <sharedItems count="35">
        <s v="Children with diarrhea"/>
        <s v="Feeding practices during diarrhea: Increased amount of fluids"/>
        <s v="Feeding practices during diarrhea: Same amount of fluids"/>
        <s v="Feeding practices during diarrhea: Increased amount of food"/>
        <s v="Feeding practices during diarrhea: Same amount of food"/>
        <s v="Feeding practices during diarrhea: Given increased fluids and continued feeding"/>
        <s v="Feeding practices during diarrhea: Continued feeding, and ORT and/or increased fluids"/>
        <s v="Children with diarrhea with blood in the stools"/>
        <s v="Treatment of diarrhea: Advice or treatment was sought"/>
        <s v="Treatment of diarrhea: Oral rehydration solution (ORS)"/>
        <s v="Treatment of diarrhea: Either ORS or RHF"/>
        <s v="Treatment of diarrhea: Increased fluids"/>
        <s v="Treatment of diarrhea: ORT or increased fluids"/>
        <s v="Treatment of diarrhea: No ORS, RHF or increased fluids"/>
        <s v="Treatment of diarrhea: Antibiotics"/>
        <s v="Treatment of diarrhea: Intravenous solution"/>
        <s v="Treatment of diarrhea: Home remedy - other"/>
        <s v="Treatment of diarrhea: No treatment"/>
        <s v="Treatment of diarrhea: don't know or missing"/>
        <s v="Feeding practices during diarrhea: Decreased amount of fluids"/>
        <s v="Feeding practices during diarrhea: don't know or missing on fluids given"/>
        <s v="Knowledge of ORS"/>
        <s v="Feeding practices during diarrhea: ORT and continued feeding"/>
        <s v="Feeding practices during diarrhea: Somewhat less fluids"/>
        <s v="Feeding practices during diarrhea: Much less fluids"/>
        <s v="Feeding practices during diarrhea: Stopped fluids completely"/>
        <s v="Feeding practices during diarrhea: Somewhat less food"/>
        <s v="Feeding practices during diarrhea: Much less food"/>
        <s v="Feeding practices during diarrhea: Stopped food completely"/>
        <s v="Feeding practices during diarrhea: Never gave food"/>
        <s v="Feeding practices during diarrhea: don't know or missing on food given"/>
        <s v="Treatment of diarrhea: Recommended home fluids (RHF) at home"/>
        <s v="Treatment of diarrhea: Zinc supplements"/>
        <s v="Treatment of diarrhea: Antimotility drugs"/>
        <s v="Treatment of diarrhea: Injection"/>
      </sharedItems>
    </cacheField>
    <cacheField name="Value_pct" numFmtId="0">
      <sharedItems containsSemiMixedTypes="0" containsString="0" containsNumber="1" minValue="0" maxValue="94.2"/>
    </cacheField>
    <cacheField name="Year" numFmtId="0">
      <sharedItems containsSemiMixedTypes="0" containsString="0" containsNumber="1" containsInteger="1" minValue="1989" maxValue="2022" count="6">
        <n v="1989"/>
        <n v="1993"/>
        <n v="2003"/>
        <n v="2008"/>
        <n v="2014"/>
        <n v="2022"/>
      </sharedItems>
    </cacheField>
    <cacheField name="Survey_Period" numFmtId="0">
      <sharedItems/>
    </cacheField>
    <cacheField name="Sample_Size" numFmtId="0">
      <sharedItems containsSemiMixedTypes="0" containsString="0" containsNumber="1" containsInteger="1" minValue="779" maxValue="18702"/>
    </cacheField>
    <cacheField name="Sample_Unweighted" numFmtId="0">
      <sharedItems containsSemiMixedTypes="0" containsString="0" containsNumber="1" containsInteger="1" minValue="756" maxValue="20093"/>
    </cacheField>
    <cacheField name="Category" numFmtId="0">
      <sharedItems count="3">
        <s v="Prevalence"/>
        <s v="Feeding Practices"/>
        <s v="Treatment"/>
      </sharedItems>
    </cacheField>
    <cacheField name="Short_Indicator" numFmtId="0">
      <sharedItems count="32">
        <s v="Diarrhea Prevalence"/>
        <s v="More Fluids Given"/>
        <s v="Same Fluids"/>
        <s v="More Food Given"/>
        <s v="Same Food"/>
        <s v="Increased Fluids+Feeding"/>
        <s v="Continued Feeding+ORT"/>
        <s v="Advice Sought"/>
        <s v="ORS"/>
        <s v="ORS or RHF"/>
        <s v="Increased Fluids"/>
        <s v="ORT or Fluids"/>
        <s v="No ORS/RHF/Fluids"/>
        <s v="Antibiotics"/>
        <s v="IV Solution"/>
        <s v="Home Remedy"/>
        <s v="No Treatment"/>
        <s v="Unknown Treatment"/>
        <s v="Less Fluids Given"/>
        <s v="Knowledge of ORS"/>
        <s v="ORT+Continued Feeding"/>
        <s v="Somewhat Less Fluids"/>
        <s v="Much Less Fluids"/>
        <s v="Stopped Fluids"/>
        <s v="Somewhat Less Food"/>
        <s v="Much Less Food"/>
        <s v="Stopped Food"/>
        <s v="Never Gave Food"/>
        <s v="RHF"/>
        <s v="Zinc Supplements"/>
        <s v="Antimotility Drugs"/>
        <s v="Injection"/>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53">
  <r>
    <x v="0"/>
    <n v="12.7"/>
    <x v="0"/>
    <s v="1989"/>
    <n v="6589"/>
    <n v="6407"/>
    <x v="0"/>
    <x v="0"/>
  </r>
  <r>
    <x v="1"/>
    <n v="28.7"/>
    <x v="0"/>
    <s v="1989"/>
    <n v="838"/>
    <n v="833"/>
    <x v="1"/>
    <x v="1"/>
  </r>
  <r>
    <x v="2"/>
    <n v="71.3"/>
    <x v="0"/>
    <s v="1989"/>
    <n v="838"/>
    <n v="833"/>
    <x v="1"/>
    <x v="2"/>
  </r>
  <r>
    <x v="3"/>
    <n v="5.8"/>
    <x v="0"/>
    <s v="1989"/>
    <n v="838"/>
    <n v="833"/>
    <x v="1"/>
    <x v="3"/>
  </r>
  <r>
    <x v="4"/>
    <n v="94.2"/>
    <x v="0"/>
    <s v="1989"/>
    <n v="838"/>
    <n v="833"/>
    <x v="1"/>
    <x v="4"/>
  </r>
  <r>
    <x v="5"/>
    <n v="28.7"/>
    <x v="0"/>
    <s v="1989"/>
    <n v="838"/>
    <n v="833"/>
    <x v="1"/>
    <x v="5"/>
  </r>
  <r>
    <x v="6"/>
    <n v="70.099999999999994"/>
    <x v="0"/>
    <s v="1989"/>
    <n v="838"/>
    <n v="833"/>
    <x v="1"/>
    <x v="6"/>
  </r>
  <r>
    <x v="0"/>
    <n v="13.8"/>
    <x v="1"/>
    <s v="1993"/>
    <n v="5650"/>
    <n v="5642"/>
    <x v="0"/>
    <x v="0"/>
  </r>
  <r>
    <x v="7"/>
    <n v="2.4"/>
    <x v="1"/>
    <s v="1993"/>
    <n v="5650"/>
    <n v="5642"/>
    <x v="0"/>
    <x v="0"/>
  </r>
  <r>
    <x v="8"/>
    <n v="55.9"/>
    <x v="1"/>
    <s v="1993"/>
    <n v="779"/>
    <n v="756"/>
    <x v="2"/>
    <x v="7"/>
  </r>
  <r>
    <x v="9"/>
    <n v="31.6"/>
    <x v="1"/>
    <s v="1993"/>
    <n v="779"/>
    <n v="756"/>
    <x v="2"/>
    <x v="8"/>
  </r>
  <r>
    <x v="10"/>
    <n v="31.6"/>
    <x v="1"/>
    <s v="1993"/>
    <n v="779"/>
    <n v="756"/>
    <x v="2"/>
    <x v="9"/>
  </r>
  <r>
    <x v="11"/>
    <n v="43.9"/>
    <x v="1"/>
    <s v="1993"/>
    <n v="779"/>
    <n v="756"/>
    <x v="2"/>
    <x v="10"/>
  </r>
  <r>
    <x v="12"/>
    <n v="57.4"/>
    <x v="1"/>
    <s v="1993"/>
    <n v="779"/>
    <n v="756"/>
    <x v="2"/>
    <x v="11"/>
  </r>
  <r>
    <x v="13"/>
    <n v="42.6"/>
    <x v="1"/>
    <s v="1993"/>
    <n v="779"/>
    <n v="756"/>
    <x v="2"/>
    <x v="12"/>
  </r>
  <r>
    <x v="14"/>
    <n v="16.7"/>
    <x v="1"/>
    <s v="1993"/>
    <n v="779"/>
    <n v="756"/>
    <x v="2"/>
    <x v="13"/>
  </r>
  <r>
    <x v="15"/>
    <n v="0.2"/>
    <x v="1"/>
    <s v="1993"/>
    <n v="779"/>
    <n v="756"/>
    <x v="2"/>
    <x v="14"/>
  </r>
  <r>
    <x v="16"/>
    <n v="35.799999999999997"/>
    <x v="1"/>
    <s v="1993"/>
    <n v="779"/>
    <n v="756"/>
    <x v="2"/>
    <x v="15"/>
  </r>
  <r>
    <x v="17"/>
    <n v="18.2"/>
    <x v="1"/>
    <s v="1993"/>
    <n v="779"/>
    <n v="756"/>
    <x v="2"/>
    <x v="16"/>
  </r>
  <r>
    <x v="18"/>
    <n v="1.9"/>
    <x v="1"/>
    <s v="1993"/>
    <n v="779"/>
    <n v="756"/>
    <x v="2"/>
    <x v="17"/>
  </r>
  <r>
    <x v="1"/>
    <n v="43.9"/>
    <x v="1"/>
    <s v="1993"/>
    <n v="779"/>
    <n v="756"/>
    <x v="1"/>
    <x v="1"/>
  </r>
  <r>
    <x v="2"/>
    <n v="39.299999999999997"/>
    <x v="1"/>
    <s v="1993"/>
    <n v="779"/>
    <n v="756"/>
    <x v="1"/>
    <x v="2"/>
  </r>
  <r>
    <x v="19"/>
    <n v="14.3"/>
    <x v="1"/>
    <s v="1993"/>
    <n v="779"/>
    <n v="756"/>
    <x v="1"/>
    <x v="18"/>
  </r>
  <r>
    <x v="20"/>
    <n v="2.5"/>
    <x v="1"/>
    <s v="1993"/>
    <n v="779"/>
    <n v="756"/>
    <x v="1"/>
    <x v="17"/>
  </r>
  <r>
    <x v="21"/>
    <n v="74"/>
    <x v="1"/>
    <s v="1993"/>
    <n v="3936"/>
    <n v="3904"/>
    <x v="0"/>
    <x v="19"/>
  </r>
  <r>
    <x v="0"/>
    <n v="16"/>
    <x v="2"/>
    <s v="2003"/>
    <n v="5560"/>
    <n v="5447"/>
    <x v="0"/>
    <x v="0"/>
  </r>
  <r>
    <x v="8"/>
    <n v="36.4"/>
    <x v="2"/>
    <s v="2003"/>
    <n v="888"/>
    <n v="866"/>
    <x v="2"/>
    <x v="7"/>
  </r>
  <r>
    <x v="9"/>
    <n v="29.2"/>
    <x v="2"/>
    <s v="2003"/>
    <n v="888"/>
    <n v="866"/>
    <x v="2"/>
    <x v="8"/>
  </r>
  <r>
    <x v="10"/>
    <n v="29.2"/>
    <x v="2"/>
    <s v="2003"/>
    <n v="888"/>
    <n v="866"/>
    <x v="2"/>
    <x v="9"/>
  </r>
  <r>
    <x v="11"/>
    <n v="34.200000000000003"/>
    <x v="2"/>
    <s v="2003"/>
    <n v="888"/>
    <n v="866"/>
    <x v="2"/>
    <x v="10"/>
  </r>
  <r>
    <x v="12"/>
    <n v="50.6"/>
    <x v="2"/>
    <s v="2003"/>
    <n v="888"/>
    <n v="866"/>
    <x v="2"/>
    <x v="11"/>
  </r>
  <r>
    <x v="13"/>
    <n v="49.4"/>
    <x v="2"/>
    <s v="2003"/>
    <n v="888"/>
    <n v="866"/>
    <x v="2"/>
    <x v="12"/>
  </r>
  <r>
    <x v="15"/>
    <n v="1.4"/>
    <x v="2"/>
    <s v="2003"/>
    <n v="888"/>
    <n v="866"/>
    <x v="2"/>
    <x v="14"/>
  </r>
  <r>
    <x v="16"/>
    <n v="36.200000000000003"/>
    <x v="2"/>
    <s v="2003"/>
    <n v="888"/>
    <n v="866"/>
    <x v="2"/>
    <x v="15"/>
  </r>
  <r>
    <x v="17"/>
    <n v="31.8"/>
    <x v="2"/>
    <s v="2003"/>
    <n v="888"/>
    <n v="866"/>
    <x v="2"/>
    <x v="16"/>
  </r>
  <r>
    <x v="18"/>
    <n v="0.2"/>
    <x v="2"/>
    <s v="2003"/>
    <n v="888"/>
    <n v="866"/>
    <x v="2"/>
    <x v="17"/>
  </r>
  <r>
    <x v="1"/>
    <n v="34.200000000000003"/>
    <x v="2"/>
    <s v="2003"/>
    <n v="888"/>
    <n v="866"/>
    <x v="1"/>
    <x v="1"/>
  </r>
  <r>
    <x v="22"/>
    <n v="19"/>
    <x v="2"/>
    <s v="2003"/>
    <n v="888"/>
    <n v="866"/>
    <x v="1"/>
    <x v="20"/>
  </r>
  <r>
    <x v="2"/>
    <n v="32.9"/>
    <x v="2"/>
    <s v="2003"/>
    <n v="888"/>
    <n v="866"/>
    <x v="1"/>
    <x v="2"/>
  </r>
  <r>
    <x v="23"/>
    <n v="15.1"/>
    <x v="2"/>
    <s v="2003"/>
    <n v="888"/>
    <n v="866"/>
    <x v="1"/>
    <x v="21"/>
  </r>
  <r>
    <x v="24"/>
    <n v="13.4"/>
    <x v="2"/>
    <s v="2003"/>
    <n v="888"/>
    <n v="866"/>
    <x v="1"/>
    <x v="22"/>
  </r>
  <r>
    <x v="25"/>
    <n v="4.0999999999999996"/>
    <x v="2"/>
    <s v="2003"/>
    <n v="888"/>
    <n v="866"/>
    <x v="1"/>
    <x v="23"/>
  </r>
  <r>
    <x v="20"/>
    <n v="0.3"/>
    <x v="2"/>
    <s v="2003"/>
    <n v="888"/>
    <n v="866"/>
    <x v="1"/>
    <x v="17"/>
  </r>
  <r>
    <x v="3"/>
    <n v="6.6"/>
    <x v="2"/>
    <s v="2003"/>
    <n v="888"/>
    <n v="866"/>
    <x v="1"/>
    <x v="3"/>
  </r>
  <r>
    <x v="4"/>
    <n v="34.5"/>
    <x v="2"/>
    <s v="2003"/>
    <n v="888"/>
    <n v="866"/>
    <x v="1"/>
    <x v="4"/>
  </r>
  <r>
    <x v="26"/>
    <n v="25.8"/>
    <x v="2"/>
    <s v="2003"/>
    <n v="888"/>
    <n v="866"/>
    <x v="1"/>
    <x v="24"/>
  </r>
  <r>
    <x v="27"/>
    <n v="18.600000000000001"/>
    <x v="2"/>
    <s v="2003"/>
    <n v="888"/>
    <n v="866"/>
    <x v="1"/>
    <x v="25"/>
  </r>
  <r>
    <x v="28"/>
    <n v="7.2"/>
    <x v="2"/>
    <s v="2003"/>
    <n v="888"/>
    <n v="866"/>
    <x v="1"/>
    <x v="26"/>
  </r>
  <r>
    <x v="29"/>
    <n v="7.1"/>
    <x v="2"/>
    <s v="2003"/>
    <n v="888"/>
    <n v="866"/>
    <x v="1"/>
    <x v="27"/>
  </r>
  <r>
    <x v="30"/>
    <n v="0.2"/>
    <x v="2"/>
    <s v="2003"/>
    <n v="888"/>
    <n v="866"/>
    <x v="1"/>
    <x v="17"/>
  </r>
  <r>
    <x v="5"/>
    <n v="22.5"/>
    <x v="2"/>
    <s v="2003"/>
    <n v="888"/>
    <n v="866"/>
    <x v="1"/>
    <x v="5"/>
  </r>
  <r>
    <x v="6"/>
    <n v="33.299999999999997"/>
    <x v="2"/>
    <s v="2003"/>
    <n v="888"/>
    <n v="866"/>
    <x v="1"/>
    <x v="6"/>
  </r>
  <r>
    <x v="21"/>
    <n v="71.099999999999994"/>
    <x v="2"/>
    <s v="2003"/>
    <n v="4052"/>
    <n v="3972"/>
    <x v="0"/>
    <x v="19"/>
  </r>
  <r>
    <x v="0"/>
    <n v="16.600000000000001"/>
    <x v="3"/>
    <s v="2008-09"/>
    <n v="5481"/>
    <n v="5706"/>
    <x v="0"/>
    <x v="0"/>
  </r>
  <r>
    <x v="7"/>
    <n v="2.6"/>
    <x v="3"/>
    <s v="2008-09"/>
    <n v="5481"/>
    <n v="5706"/>
    <x v="0"/>
    <x v="0"/>
  </r>
  <r>
    <x v="8"/>
    <n v="58"/>
    <x v="3"/>
    <s v="2008-09"/>
    <n v="909"/>
    <n v="946"/>
    <x v="2"/>
    <x v="7"/>
  </r>
  <r>
    <x v="9"/>
    <n v="71.5"/>
    <x v="3"/>
    <s v="2008-09"/>
    <n v="909"/>
    <n v="946"/>
    <x v="2"/>
    <x v="8"/>
  </r>
  <r>
    <x v="31"/>
    <n v="25.9"/>
    <x v="3"/>
    <s v="2008-09"/>
    <n v="909"/>
    <n v="946"/>
    <x v="2"/>
    <x v="28"/>
  </r>
  <r>
    <x v="10"/>
    <n v="71.5"/>
    <x v="3"/>
    <s v="2008-09"/>
    <n v="909"/>
    <n v="946"/>
    <x v="2"/>
    <x v="9"/>
  </r>
  <r>
    <x v="32"/>
    <n v="0.2"/>
    <x v="3"/>
    <s v="2008-09"/>
    <n v="909"/>
    <n v="946"/>
    <x v="2"/>
    <x v="29"/>
  </r>
  <r>
    <x v="11"/>
    <n v="26.1"/>
    <x v="3"/>
    <s v="2008-09"/>
    <n v="909"/>
    <n v="946"/>
    <x v="2"/>
    <x v="10"/>
  </r>
  <r>
    <x v="12"/>
    <n v="78.099999999999994"/>
    <x v="3"/>
    <s v="2008-09"/>
    <n v="909"/>
    <n v="946"/>
    <x v="2"/>
    <x v="11"/>
  </r>
  <r>
    <x v="13"/>
    <n v="21.9"/>
    <x v="3"/>
    <s v="2008-09"/>
    <n v="909"/>
    <n v="946"/>
    <x v="2"/>
    <x v="12"/>
  </r>
  <r>
    <x v="14"/>
    <n v="14.2"/>
    <x v="3"/>
    <s v="2008-09"/>
    <n v="909"/>
    <n v="946"/>
    <x v="2"/>
    <x v="13"/>
  </r>
  <r>
    <x v="33"/>
    <n v="8.6999999999999993"/>
    <x v="3"/>
    <s v="2008-09"/>
    <n v="909"/>
    <n v="946"/>
    <x v="2"/>
    <x v="30"/>
  </r>
  <r>
    <x v="15"/>
    <n v="0.2"/>
    <x v="3"/>
    <s v="2008-09"/>
    <n v="909"/>
    <n v="946"/>
    <x v="2"/>
    <x v="14"/>
  </r>
  <r>
    <x v="34"/>
    <n v="2.1"/>
    <x v="3"/>
    <s v="2008-09"/>
    <n v="909"/>
    <n v="946"/>
    <x v="2"/>
    <x v="31"/>
  </r>
  <r>
    <x v="16"/>
    <n v="23.6"/>
    <x v="3"/>
    <s v="2008-09"/>
    <n v="909"/>
    <n v="946"/>
    <x v="2"/>
    <x v="15"/>
  </r>
  <r>
    <x v="17"/>
    <n v="13"/>
    <x v="3"/>
    <s v="2008-09"/>
    <n v="909"/>
    <n v="946"/>
    <x v="2"/>
    <x v="16"/>
  </r>
  <r>
    <x v="18"/>
    <n v="0"/>
    <x v="3"/>
    <s v="2008-09"/>
    <n v="909"/>
    <n v="946"/>
    <x v="2"/>
    <x v="17"/>
  </r>
  <r>
    <x v="1"/>
    <n v="26.1"/>
    <x v="3"/>
    <s v="2008-09"/>
    <n v="909"/>
    <n v="946"/>
    <x v="1"/>
    <x v="1"/>
  </r>
  <r>
    <x v="22"/>
    <n v="38.9"/>
    <x v="3"/>
    <s v="2008-09"/>
    <n v="909"/>
    <n v="946"/>
    <x v="1"/>
    <x v="20"/>
  </r>
  <r>
    <x v="2"/>
    <n v="31.7"/>
    <x v="3"/>
    <s v="2008-09"/>
    <n v="909"/>
    <n v="946"/>
    <x v="1"/>
    <x v="2"/>
  </r>
  <r>
    <x v="23"/>
    <n v="17.100000000000001"/>
    <x v="3"/>
    <s v="2008-09"/>
    <n v="909"/>
    <n v="946"/>
    <x v="1"/>
    <x v="21"/>
  </r>
  <r>
    <x v="24"/>
    <n v="23.1"/>
    <x v="3"/>
    <s v="2008-09"/>
    <n v="909"/>
    <n v="946"/>
    <x v="1"/>
    <x v="22"/>
  </r>
  <r>
    <x v="25"/>
    <n v="1.8"/>
    <x v="3"/>
    <s v="2008-09"/>
    <n v="909"/>
    <n v="946"/>
    <x v="1"/>
    <x v="23"/>
  </r>
  <r>
    <x v="20"/>
    <n v="0.1"/>
    <x v="3"/>
    <s v="2008-09"/>
    <n v="909"/>
    <n v="946"/>
    <x v="1"/>
    <x v="17"/>
  </r>
  <r>
    <x v="3"/>
    <n v="5"/>
    <x v="3"/>
    <s v="2008-09"/>
    <n v="909"/>
    <n v="946"/>
    <x v="1"/>
    <x v="3"/>
  </r>
  <r>
    <x v="4"/>
    <n v="28.7"/>
    <x v="3"/>
    <s v="2008-09"/>
    <n v="909"/>
    <n v="946"/>
    <x v="1"/>
    <x v="4"/>
  </r>
  <r>
    <x v="26"/>
    <n v="22.5"/>
    <x v="3"/>
    <s v="2008-09"/>
    <n v="909"/>
    <n v="946"/>
    <x v="1"/>
    <x v="24"/>
  </r>
  <r>
    <x v="27"/>
    <n v="30.6"/>
    <x v="3"/>
    <s v="2008-09"/>
    <n v="909"/>
    <n v="946"/>
    <x v="1"/>
    <x v="25"/>
  </r>
  <r>
    <x v="28"/>
    <n v="5.9"/>
    <x v="3"/>
    <s v="2008-09"/>
    <n v="909"/>
    <n v="946"/>
    <x v="1"/>
    <x v="26"/>
  </r>
  <r>
    <x v="29"/>
    <n v="7.2"/>
    <x v="3"/>
    <s v="2008-09"/>
    <n v="909"/>
    <n v="946"/>
    <x v="1"/>
    <x v="27"/>
  </r>
  <r>
    <x v="30"/>
    <n v="0.1"/>
    <x v="3"/>
    <s v="2008-09"/>
    <n v="909"/>
    <n v="946"/>
    <x v="1"/>
    <x v="17"/>
  </r>
  <r>
    <x v="5"/>
    <n v="15.4"/>
    <x v="3"/>
    <s v="2008-09"/>
    <n v="909"/>
    <n v="946"/>
    <x v="1"/>
    <x v="5"/>
  </r>
  <r>
    <x v="6"/>
    <n v="42.6"/>
    <x v="3"/>
    <s v="2008-09"/>
    <n v="909"/>
    <n v="946"/>
    <x v="1"/>
    <x v="6"/>
  </r>
  <r>
    <x v="21"/>
    <n v="78.400000000000006"/>
    <x v="3"/>
    <s v="2008-09"/>
    <n v="3973"/>
    <n v="4082"/>
    <x v="0"/>
    <x v="19"/>
  </r>
  <r>
    <x v="0"/>
    <n v="15.2"/>
    <x v="4"/>
    <s v="2014"/>
    <n v="18702"/>
    <n v="20093"/>
    <x v="0"/>
    <x v="0"/>
  </r>
  <r>
    <x v="7"/>
    <n v="1.7"/>
    <x v="4"/>
    <s v="2014"/>
    <n v="18702"/>
    <n v="20093"/>
    <x v="0"/>
    <x v="0"/>
  </r>
  <r>
    <x v="8"/>
    <n v="66"/>
    <x v="4"/>
    <s v="2014"/>
    <n v="2844"/>
    <n v="2953"/>
    <x v="2"/>
    <x v="7"/>
  </r>
  <r>
    <x v="9"/>
    <n v="53.8"/>
    <x v="4"/>
    <s v="2014"/>
    <n v="2844"/>
    <n v="2953"/>
    <x v="2"/>
    <x v="8"/>
  </r>
  <r>
    <x v="31"/>
    <n v="28.5"/>
    <x v="4"/>
    <s v="2014"/>
    <n v="2844"/>
    <n v="2953"/>
    <x v="2"/>
    <x v="28"/>
  </r>
  <r>
    <x v="10"/>
    <n v="64.599999999999994"/>
    <x v="4"/>
    <s v="2014"/>
    <n v="2844"/>
    <n v="2953"/>
    <x v="2"/>
    <x v="9"/>
  </r>
  <r>
    <x v="32"/>
    <n v="8.1"/>
    <x v="4"/>
    <s v="2014"/>
    <n v="2844"/>
    <n v="2953"/>
    <x v="2"/>
    <x v="29"/>
  </r>
  <r>
    <x v="11"/>
    <n v="21.5"/>
    <x v="4"/>
    <s v="2014"/>
    <n v="2844"/>
    <n v="2953"/>
    <x v="2"/>
    <x v="10"/>
  </r>
  <r>
    <x v="12"/>
    <n v="70.599999999999994"/>
    <x v="4"/>
    <s v="2014"/>
    <n v="2844"/>
    <n v="2953"/>
    <x v="2"/>
    <x v="11"/>
  </r>
  <r>
    <x v="13"/>
    <n v="29.4"/>
    <x v="4"/>
    <s v="2014"/>
    <n v="2844"/>
    <n v="2953"/>
    <x v="2"/>
    <x v="12"/>
  </r>
  <r>
    <x v="14"/>
    <n v="15.9"/>
    <x v="4"/>
    <s v="2014"/>
    <n v="2844"/>
    <n v="2953"/>
    <x v="2"/>
    <x v="13"/>
  </r>
  <r>
    <x v="33"/>
    <n v="1.1000000000000001"/>
    <x v="4"/>
    <s v="2014"/>
    <n v="2844"/>
    <n v="2953"/>
    <x v="2"/>
    <x v="30"/>
  </r>
  <r>
    <x v="15"/>
    <n v="1.5"/>
    <x v="4"/>
    <s v="2014"/>
    <n v="2844"/>
    <n v="2953"/>
    <x v="2"/>
    <x v="14"/>
  </r>
  <r>
    <x v="34"/>
    <n v="2.2000000000000002"/>
    <x v="4"/>
    <s v="2014"/>
    <n v="2844"/>
    <n v="2953"/>
    <x v="2"/>
    <x v="31"/>
  </r>
  <r>
    <x v="16"/>
    <n v="18.899999999999999"/>
    <x v="4"/>
    <s v="2014"/>
    <n v="2844"/>
    <n v="2953"/>
    <x v="2"/>
    <x v="15"/>
  </r>
  <r>
    <x v="17"/>
    <n v="18.2"/>
    <x v="4"/>
    <s v="2014"/>
    <n v="2844"/>
    <n v="2953"/>
    <x v="2"/>
    <x v="16"/>
  </r>
  <r>
    <x v="18"/>
    <n v="0.2"/>
    <x v="4"/>
    <s v="2014"/>
    <n v="2844"/>
    <n v="2953"/>
    <x v="2"/>
    <x v="17"/>
  </r>
  <r>
    <x v="1"/>
    <n v="21.5"/>
    <x v="4"/>
    <s v="2014"/>
    <n v="2844"/>
    <n v="2953"/>
    <x v="1"/>
    <x v="1"/>
  </r>
  <r>
    <x v="22"/>
    <n v="34.200000000000003"/>
    <x v="4"/>
    <s v="2014"/>
    <n v="2844"/>
    <n v="2953"/>
    <x v="1"/>
    <x v="20"/>
  </r>
  <r>
    <x v="2"/>
    <n v="36.9"/>
    <x v="4"/>
    <s v="2014"/>
    <n v="2844"/>
    <n v="2953"/>
    <x v="1"/>
    <x v="2"/>
  </r>
  <r>
    <x v="23"/>
    <n v="24.5"/>
    <x v="4"/>
    <s v="2014"/>
    <n v="2844"/>
    <n v="2953"/>
    <x v="1"/>
    <x v="21"/>
  </r>
  <r>
    <x v="24"/>
    <n v="14.3"/>
    <x v="4"/>
    <s v="2014"/>
    <n v="2844"/>
    <n v="2953"/>
    <x v="1"/>
    <x v="22"/>
  </r>
  <r>
    <x v="25"/>
    <n v="2.4"/>
    <x v="4"/>
    <s v="2014"/>
    <n v="2844"/>
    <n v="2953"/>
    <x v="1"/>
    <x v="23"/>
  </r>
  <r>
    <x v="20"/>
    <n v="0.3"/>
    <x v="4"/>
    <s v="2014"/>
    <n v="2844"/>
    <n v="2953"/>
    <x v="1"/>
    <x v="17"/>
  </r>
  <r>
    <x v="3"/>
    <n v="3"/>
    <x v="4"/>
    <s v="2014"/>
    <n v="2844"/>
    <n v="2953"/>
    <x v="1"/>
    <x v="3"/>
  </r>
  <r>
    <x v="4"/>
    <n v="31.7"/>
    <x v="4"/>
    <s v="2014"/>
    <n v="2844"/>
    <n v="2953"/>
    <x v="1"/>
    <x v="4"/>
  </r>
  <r>
    <x v="26"/>
    <n v="30.6"/>
    <x v="4"/>
    <s v="2014"/>
    <n v="2844"/>
    <n v="2953"/>
    <x v="1"/>
    <x v="24"/>
  </r>
  <r>
    <x v="27"/>
    <n v="18"/>
    <x v="4"/>
    <s v="2014"/>
    <n v="2844"/>
    <n v="2953"/>
    <x v="1"/>
    <x v="25"/>
  </r>
  <r>
    <x v="28"/>
    <n v="7.2"/>
    <x v="4"/>
    <s v="2014"/>
    <n v="2844"/>
    <n v="2953"/>
    <x v="1"/>
    <x v="26"/>
  </r>
  <r>
    <x v="29"/>
    <n v="9.4"/>
    <x v="4"/>
    <s v="2014"/>
    <n v="2844"/>
    <n v="2953"/>
    <x v="1"/>
    <x v="27"/>
  </r>
  <r>
    <x v="30"/>
    <n v="0.1"/>
    <x v="4"/>
    <s v="2014"/>
    <n v="2844"/>
    <n v="2953"/>
    <x v="1"/>
    <x v="17"/>
  </r>
  <r>
    <x v="5"/>
    <n v="14.9"/>
    <x v="4"/>
    <s v="2014"/>
    <n v="2844"/>
    <n v="2953"/>
    <x v="1"/>
    <x v="5"/>
  </r>
  <r>
    <x v="6"/>
    <n v="45.1"/>
    <x v="4"/>
    <s v="2014"/>
    <n v="2844"/>
    <n v="2953"/>
    <x v="1"/>
    <x v="6"/>
  </r>
  <r>
    <x v="21"/>
    <n v="92.8"/>
    <x v="4"/>
    <s v="2014"/>
    <n v="14442"/>
    <n v="14949"/>
    <x v="0"/>
    <x v="19"/>
  </r>
  <r>
    <x v="0"/>
    <n v="14.3"/>
    <x v="5"/>
    <s v="2022"/>
    <n v="16883"/>
    <n v="18836"/>
    <x v="0"/>
    <x v="0"/>
  </r>
  <r>
    <x v="8"/>
    <n v="58.1"/>
    <x v="5"/>
    <s v="2022"/>
    <n v="2416"/>
    <n v="2637"/>
    <x v="2"/>
    <x v="7"/>
  </r>
  <r>
    <x v="9"/>
    <n v="48.3"/>
    <x v="5"/>
    <s v="2022"/>
    <n v="2416"/>
    <n v="2637"/>
    <x v="2"/>
    <x v="8"/>
  </r>
  <r>
    <x v="31"/>
    <n v="25.7"/>
    <x v="5"/>
    <s v="2022"/>
    <n v="2416"/>
    <n v="2637"/>
    <x v="2"/>
    <x v="28"/>
  </r>
  <r>
    <x v="10"/>
    <n v="59.7"/>
    <x v="5"/>
    <s v="2022"/>
    <n v="2416"/>
    <n v="2637"/>
    <x v="2"/>
    <x v="9"/>
  </r>
  <r>
    <x v="32"/>
    <n v="39.5"/>
    <x v="5"/>
    <s v="2022"/>
    <n v="2416"/>
    <n v="2637"/>
    <x v="2"/>
    <x v="29"/>
  </r>
  <r>
    <x v="11"/>
    <n v="28.3"/>
    <x v="5"/>
    <s v="2022"/>
    <n v="2416"/>
    <n v="2637"/>
    <x v="2"/>
    <x v="10"/>
  </r>
  <r>
    <x v="12"/>
    <n v="70.400000000000006"/>
    <x v="5"/>
    <s v="2022"/>
    <n v="2416"/>
    <n v="2637"/>
    <x v="2"/>
    <x v="11"/>
  </r>
  <r>
    <x v="13"/>
    <n v="29.6"/>
    <x v="5"/>
    <s v="2022"/>
    <n v="2416"/>
    <n v="2637"/>
    <x v="2"/>
    <x v="12"/>
  </r>
  <r>
    <x v="14"/>
    <n v="14.3"/>
    <x v="5"/>
    <s v="2022"/>
    <n v="2416"/>
    <n v="2637"/>
    <x v="2"/>
    <x v="13"/>
  </r>
  <r>
    <x v="33"/>
    <n v="2.6"/>
    <x v="5"/>
    <s v="2022"/>
    <n v="2416"/>
    <n v="2637"/>
    <x v="2"/>
    <x v="30"/>
  </r>
  <r>
    <x v="15"/>
    <n v="0.3"/>
    <x v="5"/>
    <s v="2022"/>
    <n v="2416"/>
    <n v="2637"/>
    <x v="2"/>
    <x v="14"/>
  </r>
  <r>
    <x v="34"/>
    <n v="0.5"/>
    <x v="5"/>
    <s v="2022"/>
    <n v="2416"/>
    <n v="2637"/>
    <x v="2"/>
    <x v="31"/>
  </r>
  <r>
    <x v="16"/>
    <n v="7.9"/>
    <x v="5"/>
    <s v="2022"/>
    <n v="2416"/>
    <n v="2637"/>
    <x v="2"/>
    <x v="15"/>
  </r>
  <r>
    <x v="17"/>
    <n v="18.600000000000001"/>
    <x v="5"/>
    <s v="2022"/>
    <n v="2416"/>
    <n v="2637"/>
    <x v="2"/>
    <x v="16"/>
  </r>
  <r>
    <x v="18"/>
    <n v="0.2"/>
    <x v="5"/>
    <s v="2022"/>
    <n v="2416"/>
    <n v="2637"/>
    <x v="2"/>
    <x v="17"/>
  </r>
  <r>
    <x v="1"/>
    <n v="28.3"/>
    <x v="5"/>
    <s v="2022"/>
    <n v="2416"/>
    <n v="2637"/>
    <x v="1"/>
    <x v="1"/>
  </r>
  <r>
    <x v="22"/>
    <n v="31.1"/>
    <x v="5"/>
    <s v="2022"/>
    <n v="2416"/>
    <n v="2637"/>
    <x v="1"/>
    <x v="20"/>
  </r>
  <r>
    <x v="2"/>
    <n v="35.6"/>
    <x v="5"/>
    <s v="2022"/>
    <n v="2416"/>
    <n v="2637"/>
    <x v="1"/>
    <x v="2"/>
  </r>
  <r>
    <x v="23"/>
    <n v="17.899999999999999"/>
    <x v="5"/>
    <s v="2022"/>
    <n v="2416"/>
    <n v="2637"/>
    <x v="1"/>
    <x v="21"/>
  </r>
  <r>
    <x v="24"/>
    <n v="15"/>
    <x v="5"/>
    <s v="2022"/>
    <n v="2416"/>
    <n v="2637"/>
    <x v="1"/>
    <x v="22"/>
  </r>
  <r>
    <x v="25"/>
    <n v="2.7"/>
    <x v="5"/>
    <s v="2022"/>
    <n v="2416"/>
    <n v="2637"/>
    <x v="1"/>
    <x v="23"/>
  </r>
  <r>
    <x v="20"/>
    <n v="0.5"/>
    <x v="5"/>
    <s v="2022"/>
    <n v="2416"/>
    <n v="2637"/>
    <x v="1"/>
    <x v="17"/>
  </r>
  <r>
    <x v="3"/>
    <n v="3.1"/>
    <x v="5"/>
    <s v="2022"/>
    <n v="2416"/>
    <n v="2637"/>
    <x v="1"/>
    <x v="3"/>
  </r>
  <r>
    <x v="4"/>
    <n v="32.700000000000003"/>
    <x v="5"/>
    <s v="2022"/>
    <n v="2416"/>
    <n v="2637"/>
    <x v="1"/>
    <x v="4"/>
  </r>
  <r>
    <x v="26"/>
    <n v="27.6"/>
    <x v="5"/>
    <s v="2022"/>
    <n v="2416"/>
    <n v="2637"/>
    <x v="1"/>
    <x v="24"/>
  </r>
  <r>
    <x v="27"/>
    <n v="20.8"/>
    <x v="5"/>
    <s v="2022"/>
    <n v="2416"/>
    <n v="2637"/>
    <x v="1"/>
    <x v="25"/>
  </r>
  <r>
    <x v="28"/>
    <n v="5.0999999999999996"/>
    <x v="5"/>
    <s v="2022"/>
    <n v="2416"/>
    <n v="2637"/>
    <x v="1"/>
    <x v="26"/>
  </r>
  <r>
    <x v="29"/>
    <n v="10.199999999999999"/>
    <x v="5"/>
    <s v="2022"/>
    <n v="2416"/>
    <n v="2637"/>
    <x v="1"/>
    <x v="27"/>
  </r>
  <r>
    <x v="30"/>
    <n v="0.5"/>
    <x v="5"/>
    <s v="2022"/>
    <n v="2416"/>
    <n v="2637"/>
    <x v="1"/>
    <x v="17"/>
  </r>
  <r>
    <x v="5"/>
    <n v="18.899999999999999"/>
    <x v="5"/>
    <s v="2022"/>
    <n v="2416"/>
    <n v="2637"/>
    <x v="1"/>
    <x v="5"/>
  </r>
  <r>
    <x v="6"/>
    <n v="45.8"/>
    <x v="5"/>
    <s v="2022"/>
    <n v="2416"/>
    <n v="2637"/>
    <x v="1"/>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3:B10" firstHeaderRow="1" firstDataRow="1" firstDataCol="1" rowPageCount="1" colPageCount="1"/>
  <pivotFields count="8">
    <pivotField showAll="0"/>
    <pivotField dataField="1" showAll="0"/>
    <pivotField axis="axisRow" showAll="0">
      <items count="7">
        <item x="0"/>
        <item x="1"/>
        <item x="2"/>
        <item x="3"/>
        <item x="4"/>
        <item x="5"/>
        <item t="default"/>
      </items>
    </pivotField>
    <pivotField showAll="0"/>
    <pivotField showAll="0"/>
    <pivotField showAll="0"/>
    <pivotField axis="axisPage" showAll="0">
      <items count="4">
        <item x="1"/>
        <item x="0"/>
        <item x="2"/>
        <item t="default"/>
      </items>
    </pivotField>
    <pivotField showAll="0" defaultSubtotal="0"/>
  </pivotFields>
  <rowFields count="1">
    <field x="2"/>
  </rowFields>
  <rowItems count="7">
    <i>
      <x/>
    </i>
    <i>
      <x v="1"/>
    </i>
    <i>
      <x v="2"/>
    </i>
    <i>
      <x v="3"/>
    </i>
    <i>
      <x v="4"/>
    </i>
    <i>
      <x v="5"/>
    </i>
    <i t="grand">
      <x/>
    </i>
  </rowItems>
  <colItems count="1">
    <i/>
  </colItems>
  <pageFields count="1">
    <pageField fld="6" item="1" hier="-1"/>
  </pageFields>
  <dataFields count="1">
    <dataField name="Average of Value_pct" fld="1" subtotal="average" baseField="2" baseItem="0" numFmtId="164"/>
  </dataFields>
  <formats count="7">
    <format dxfId="98">
      <pivotArea collapsedLevelsAreSubtotals="1" fieldPosition="0">
        <references count="1">
          <reference field="2" count="1">
            <x v="0"/>
          </reference>
        </references>
      </pivotArea>
    </format>
    <format dxfId="97">
      <pivotArea collapsedLevelsAreSubtotals="1" fieldPosition="0">
        <references count="1">
          <reference field="2" count="1">
            <x v="0"/>
          </reference>
        </references>
      </pivotArea>
    </format>
    <format dxfId="96">
      <pivotArea collapsedLevelsAreSubtotals="1" fieldPosition="0">
        <references count="1">
          <reference field="2" count="1">
            <x v="1"/>
          </reference>
        </references>
      </pivotArea>
    </format>
    <format dxfId="95">
      <pivotArea collapsedLevelsAreSubtotals="1" fieldPosition="0">
        <references count="1">
          <reference field="2" count="1">
            <x v="1"/>
          </reference>
        </references>
      </pivotArea>
    </format>
    <format dxfId="94">
      <pivotArea collapsedLevelsAreSubtotals="1" fieldPosition="0">
        <references count="1">
          <reference field="2" count="1">
            <x v="1"/>
          </reference>
        </references>
      </pivotArea>
    </format>
    <format dxfId="93">
      <pivotArea collapsedLevelsAreSubtotals="1" fieldPosition="0">
        <references count="1">
          <reference field="2" count="1">
            <x v="1"/>
          </reference>
        </references>
      </pivotArea>
    </format>
    <format dxfId="92">
      <pivotArea outline="0" fieldPosition="0">
        <references count="1">
          <reference field="4294967294" count="1">
            <x v="0"/>
          </reference>
        </references>
      </pivotArea>
    </format>
  </format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G10" firstHeaderRow="1" firstDataRow="2" firstDataCol="1" rowPageCount="1" colPageCount="1"/>
  <pivotFields count="8">
    <pivotField showAll="0"/>
    <pivotField dataField="1" showAll="0"/>
    <pivotField axis="axisCol" showAll="0">
      <items count="7">
        <item x="0"/>
        <item x="1"/>
        <item x="2"/>
        <item x="3"/>
        <item x="4"/>
        <item x="5"/>
        <item t="default"/>
      </items>
    </pivotField>
    <pivotField showAll="0"/>
    <pivotField showAll="0"/>
    <pivotField showAll="0"/>
    <pivotField axis="axisPage" showAll="0">
      <items count="4">
        <item x="1"/>
        <item x="0"/>
        <item x="2"/>
        <item t="default"/>
      </items>
    </pivotField>
    <pivotField axis="axisRow" showAll="0" defaultSubtotal="0">
      <items count="32">
        <item x="7"/>
        <item x="13"/>
        <item h="1" x="30"/>
        <item h="1" x="6"/>
        <item h="1" x="0"/>
        <item h="1" x="15"/>
        <item x="10"/>
        <item h="1" x="5"/>
        <item h="1" x="31"/>
        <item h="1" x="14"/>
        <item h="1" x="19"/>
        <item h="1" x="18"/>
        <item h="1" x="1"/>
        <item h="1" x="3"/>
        <item h="1" x="22"/>
        <item h="1" x="25"/>
        <item h="1" x="27"/>
        <item h="1" x="12"/>
        <item x="16"/>
        <item x="8"/>
        <item h="1" x="9"/>
        <item h="1" x="11"/>
        <item h="1" x="20"/>
        <item h="1" x="28"/>
        <item h="1" x="2"/>
        <item h="1" x="4"/>
        <item h="1" x="21"/>
        <item h="1" x="24"/>
        <item h="1" x="23"/>
        <item h="1" x="26"/>
        <item h="1" x="17"/>
        <item h="1" x="29"/>
      </items>
    </pivotField>
  </pivotFields>
  <rowFields count="1">
    <field x="7"/>
  </rowFields>
  <rowItems count="6">
    <i>
      <x/>
    </i>
    <i>
      <x v="1"/>
    </i>
    <i>
      <x v="6"/>
    </i>
    <i>
      <x v="18"/>
    </i>
    <i>
      <x v="19"/>
    </i>
    <i t="grand">
      <x/>
    </i>
  </rowItems>
  <colFields count="1">
    <field x="2"/>
  </colFields>
  <colItems count="6">
    <i>
      <x v="1"/>
    </i>
    <i>
      <x v="2"/>
    </i>
    <i>
      <x v="3"/>
    </i>
    <i>
      <x v="4"/>
    </i>
    <i>
      <x v="5"/>
    </i>
    <i t="grand">
      <x/>
    </i>
  </colItems>
  <pageFields count="1">
    <pageField fld="6" item="2" hier="-1"/>
  </pageFields>
  <dataFields count="1">
    <dataField name="Average of Value_pct" fld="1" subtotal="average" baseField="0" baseItem="0" numFmtId="2"/>
  </dataFields>
  <chartFormats count="6">
    <chartFormat chart="4" format="10" series="1">
      <pivotArea type="data" outline="0" fieldPosition="0">
        <references count="2">
          <reference field="4294967294" count="1" selected="0">
            <x v="0"/>
          </reference>
          <reference field="2" count="1" selected="0">
            <x v="1"/>
          </reference>
        </references>
      </pivotArea>
    </chartFormat>
    <chartFormat chart="4" format="11" series="1">
      <pivotArea type="data" outline="0" fieldPosition="0">
        <references count="2">
          <reference field="4294967294" count="1" selected="0">
            <x v="0"/>
          </reference>
          <reference field="2" count="1" selected="0">
            <x v="2"/>
          </reference>
        </references>
      </pivotArea>
    </chartFormat>
    <chartFormat chart="4" format="12" series="1">
      <pivotArea type="data" outline="0" fieldPosition="0">
        <references count="2">
          <reference field="4294967294" count="1" selected="0">
            <x v="0"/>
          </reference>
          <reference field="2" count="1" selected="0">
            <x v="3"/>
          </reference>
        </references>
      </pivotArea>
    </chartFormat>
    <chartFormat chart="4" format="13" series="1">
      <pivotArea type="data" outline="0" fieldPosition="0">
        <references count="2">
          <reference field="4294967294" count="1" selected="0">
            <x v="0"/>
          </reference>
          <reference field="2" count="1" selected="0">
            <x v="4"/>
          </reference>
        </references>
      </pivotArea>
    </chartFormat>
    <chartFormat chart="4" format="14" series="1">
      <pivotArea type="data" outline="0" fieldPosition="0">
        <references count="2">
          <reference field="4294967294" count="1" selected="0">
            <x v="0"/>
          </reference>
          <reference field="2" count="1" selected="0">
            <x v="5"/>
          </reference>
        </references>
      </pivotArea>
    </chartFormat>
    <chartFormat chart="4" format="1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H8" firstHeaderRow="1" firstDataRow="2" firstDataCol="1" rowPageCount="1" colPageCount="1"/>
  <pivotFields count="8">
    <pivotField showAll="0">
      <items count="36">
        <item x="0"/>
        <item x="7"/>
        <item x="6"/>
        <item x="19"/>
        <item x="20"/>
        <item x="30"/>
        <item x="5"/>
        <item x="1"/>
        <item x="3"/>
        <item x="24"/>
        <item x="27"/>
        <item x="29"/>
        <item x="22"/>
        <item x="2"/>
        <item x="4"/>
        <item x="23"/>
        <item x="26"/>
        <item x="25"/>
        <item x="28"/>
        <item x="21"/>
        <item x="8"/>
        <item x="14"/>
        <item x="33"/>
        <item x="18"/>
        <item x="10"/>
        <item x="16"/>
        <item x="11"/>
        <item x="34"/>
        <item x="15"/>
        <item x="13"/>
        <item x="17"/>
        <item x="9"/>
        <item x="12"/>
        <item x="31"/>
        <item x="32"/>
        <item t="default"/>
      </items>
    </pivotField>
    <pivotField dataField="1" showAll="0"/>
    <pivotField axis="axisCol" showAll="0">
      <items count="7">
        <item x="0"/>
        <item x="1"/>
        <item x="2"/>
        <item x="3"/>
        <item x="4"/>
        <item x="5"/>
        <item t="default"/>
      </items>
    </pivotField>
    <pivotField showAll="0"/>
    <pivotField showAll="0"/>
    <pivotField showAll="0"/>
    <pivotField axis="axisPage" showAll="0">
      <items count="4">
        <item x="1"/>
        <item x="0"/>
        <item x="2"/>
        <item t="default"/>
      </items>
    </pivotField>
    <pivotField axis="axisRow" showAll="0" defaultSubtotal="0">
      <items count="32">
        <item h="1" x="7"/>
        <item h="1" x="13"/>
        <item h="1" x="30"/>
        <item h="1" x="6"/>
        <item h="1" x="0"/>
        <item h="1" x="15"/>
        <item h="1" x="10"/>
        <item h="1" x="5"/>
        <item h="1" x="31"/>
        <item h="1" x="14"/>
        <item h="1" x="19"/>
        <item h="1" x="18"/>
        <item x="1"/>
        <item h="1" x="3"/>
        <item h="1" x="22"/>
        <item h="1" x="25"/>
        <item h="1" x="27"/>
        <item h="1" x="12"/>
        <item h="1" x="16"/>
        <item h="1" x="8"/>
        <item h="1" x="9"/>
        <item h="1" x="11"/>
        <item x="20"/>
        <item h="1" x="28"/>
        <item x="2"/>
        <item h="1" x="4"/>
        <item h="1" x="21"/>
        <item h="1" x="24"/>
        <item h="1" x="23"/>
        <item h="1" x="26"/>
        <item h="1" x="17"/>
        <item h="1" x="29"/>
      </items>
    </pivotField>
  </pivotFields>
  <rowFields count="1">
    <field x="7"/>
  </rowFields>
  <rowItems count="4">
    <i>
      <x v="12"/>
    </i>
    <i>
      <x v="22"/>
    </i>
    <i>
      <x v="24"/>
    </i>
    <i t="grand">
      <x/>
    </i>
  </rowItems>
  <colFields count="1">
    <field x="2"/>
  </colFields>
  <colItems count="7">
    <i>
      <x/>
    </i>
    <i>
      <x v="1"/>
    </i>
    <i>
      <x v="2"/>
    </i>
    <i>
      <x v="3"/>
    </i>
    <i>
      <x v="4"/>
    </i>
    <i>
      <x v="5"/>
    </i>
    <i t="grand">
      <x/>
    </i>
  </colItems>
  <pageFields count="1">
    <pageField fld="6" item="0" hier="-1"/>
  </pageFields>
  <dataFields count="1">
    <dataField name="Average of Value_pct" fld="1" subtotal="average" baseField="0" baseItem="0" numFmtId="2"/>
  </dataFields>
  <chartFormats count="6">
    <chartFormat chart="2" format="12" series="1">
      <pivotArea type="data" outline="0" fieldPosition="0">
        <references count="2">
          <reference field="4294967294" count="1" selected="0">
            <x v="0"/>
          </reference>
          <reference field="2" count="1" selected="0">
            <x v="0"/>
          </reference>
        </references>
      </pivotArea>
    </chartFormat>
    <chartFormat chart="2" format="13" series="1">
      <pivotArea type="data" outline="0" fieldPosition="0">
        <references count="2">
          <reference field="4294967294" count="1" selected="0">
            <x v="0"/>
          </reference>
          <reference field="2" count="1" selected="0">
            <x v="1"/>
          </reference>
        </references>
      </pivotArea>
    </chartFormat>
    <chartFormat chart="2" format="14" series="1">
      <pivotArea type="data" outline="0" fieldPosition="0">
        <references count="2">
          <reference field="4294967294" count="1" selected="0">
            <x v="0"/>
          </reference>
          <reference field="2" count="1" selected="0">
            <x v="2"/>
          </reference>
        </references>
      </pivotArea>
    </chartFormat>
    <chartFormat chart="2" format="15" series="1">
      <pivotArea type="data" outline="0" fieldPosition="0">
        <references count="2">
          <reference field="4294967294" count="1" selected="0">
            <x v="0"/>
          </reference>
          <reference field="2" count="1" selected="0">
            <x v="3"/>
          </reference>
        </references>
      </pivotArea>
    </chartFormat>
    <chartFormat chart="2" format="16" series="1">
      <pivotArea type="data" outline="0" fieldPosition="0">
        <references count="2">
          <reference field="4294967294" count="1" selected="0">
            <x v="0"/>
          </reference>
          <reference field="2" count="1" selected="0">
            <x v="4"/>
          </reference>
        </references>
      </pivotArea>
    </chartFormat>
    <chartFormat chart="2" format="17" series="1">
      <pivotArea type="data" outline="0" fieldPosition="0">
        <references count="2">
          <reference field="4294967294" count="1" selected="0">
            <x v="0"/>
          </reference>
          <reference field="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queryTables/queryTable1.xml><?xml version="1.0" encoding="utf-8"?>
<queryTable xmlns="http://schemas.openxmlformats.org/spreadsheetml/2006/main" name="ExternalData_1" connectionId="1" autoFormatId="0" applyNumberFormats="0" applyBorderFormats="0" applyFontFormats="1" applyPatternFormats="1" applyAlignmentFormats="0" applyWidthHeightFormats="0">
  <queryTableRefresh preserveSortFilterLayout="0" nextId="9">
    <queryTableFields count="8">
      <queryTableField id="1" name="Indicator" tableColumnId="2"/>
      <queryTableField id="2" name="Value_pct" tableColumnId="3"/>
      <queryTableField id="3" name="Year" tableColumnId="4"/>
      <queryTableField id="4" name="Survey_Period" tableColumnId="5"/>
      <queryTableField id="5" name="Sample_Size" tableColumnId="6"/>
      <queryTableField id="6" name="Sample_Unweighted" tableColumnId="7"/>
      <queryTableField id="7" name="Category" tableColumnId="8"/>
      <queryTableField id="8" name="Short_Indicator"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Year" sourceName="Year">
  <pivotTables>
    <pivotTable tabId="4" name="PivotTable1"/>
    <pivotTable tabId="6" name="PivotTable3"/>
    <pivotTable tabId="5" name="PivotTable2"/>
  </pivotTables>
  <data>
    <tabular pivotCacheId="1">
      <items count="6">
        <i x="0" s="1"/>
        <i x="1" s="1"/>
        <i x="2" s="1"/>
        <i x="3" s="1"/>
        <i x="4"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Year" cache="Slicer_Year" caption="Year"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1" name="diarrhea_national_ken" displayName="diarrhea_national_ken" ref="A1:H154" tableType="queryTable" totalsRowShown="0">
  <autoFilter ref="A1:H154"/>
  <tableColumns count="8">
    <tableColumn id="2" uniqueName="2" name="Indicator" queryTableFieldId="1" dataDxfId="91"/>
    <tableColumn id="3" uniqueName="3" name="Value_pct" queryTableFieldId="2" dataDxfId="90"/>
    <tableColumn id="4" uniqueName="4" name="Year" queryTableFieldId="3" dataDxfId="89"/>
    <tableColumn id="5" uniqueName="5" name="Survey_Period" queryTableFieldId="4" dataDxfId="88"/>
    <tableColumn id="6" uniqueName="6" name="Sample_Size" queryTableFieldId="5" dataDxfId="87"/>
    <tableColumn id="7" uniqueName="7" name="Sample_Unweighted" queryTableFieldId="6" dataDxfId="86"/>
    <tableColumn id="8" uniqueName="8" name="Category" queryTableFieldId="7" dataDxfId="85"/>
    <tableColumn id="9" uniqueName="9" name="Short_Indicator" queryTableFieldId="8" dataDxfId="8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4"/>
  <sheetViews>
    <sheetView showGridLines="0" tabSelected="1" zoomScale="80" zoomScaleNormal="80" workbookViewId="0">
      <selection activeCell="T4" sqref="T4"/>
    </sheetView>
  </sheetViews>
  <sheetFormatPr defaultRowHeight="14.5" x14ac:dyDescent="0.35"/>
  <cols>
    <col min="1" max="1" width="19.54296875" customWidth="1"/>
    <col min="2" max="2" width="15.6328125" bestFit="1" customWidth="1"/>
  </cols>
  <sheetData>
    <row r="1" spans="1:19" ht="35" customHeight="1" x14ac:dyDescent="0.55000000000000004">
      <c r="A1" s="9" t="s">
        <v>109</v>
      </c>
      <c r="B1" s="10"/>
      <c r="C1" s="10"/>
      <c r="D1" s="10"/>
      <c r="E1" s="10"/>
      <c r="F1" s="10"/>
      <c r="G1" s="10"/>
      <c r="H1" s="10"/>
      <c r="I1" s="10"/>
      <c r="J1" s="10"/>
      <c r="K1" s="10"/>
      <c r="L1" s="10"/>
      <c r="M1" s="10"/>
      <c r="N1" s="10"/>
      <c r="O1" s="10"/>
      <c r="P1" s="10"/>
      <c r="Q1" s="10"/>
      <c r="R1" s="10"/>
      <c r="S1" s="10"/>
    </row>
    <row r="2" spans="1:19" ht="15" thickBot="1" x14ac:dyDescent="0.4"/>
    <row r="3" spans="1:19" ht="19.5" thickTop="1" thickBot="1" x14ac:dyDescent="0.5">
      <c r="A3" s="8"/>
      <c r="B3" s="15" t="s">
        <v>112</v>
      </c>
      <c r="C3" s="16"/>
      <c r="D3" s="8"/>
      <c r="E3" s="15" t="s">
        <v>113</v>
      </c>
      <c r="F3" s="16"/>
      <c r="H3" s="15" t="s">
        <v>115</v>
      </c>
      <c r="I3" s="16"/>
      <c r="K3" s="15" t="s">
        <v>110</v>
      </c>
      <c r="L3" s="16"/>
    </row>
    <row r="4" spans="1:19" ht="15.5" thickTop="1" thickBot="1" x14ac:dyDescent="0.4">
      <c r="B4" s="13">
        <v>0.14299999999999999</v>
      </c>
      <c r="C4" s="14"/>
      <c r="E4" s="11" t="s">
        <v>114</v>
      </c>
      <c r="F4" s="12"/>
      <c r="H4" s="13">
        <v>0.48299999999999998</v>
      </c>
      <c r="I4" s="12"/>
      <c r="K4" s="11" t="s">
        <v>111</v>
      </c>
      <c r="L4" s="12"/>
    </row>
    <row r="5" spans="1:19" ht="15" thickTop="1" x14ac:dyDescent="0.35"/>
    <row r="24" spans="16:16" x14ac:dyDescent="0.35">
      <c r="P24" t="s">
        <v>116</v>
      </c>
    </row>
  </sheetData>
  <mergeCells count="9">
    <mergeCell ref="A1:S1"/>
    <mergeCell ref="B3:C3"/>
    <mergeCell ref="B4:C4"/>
    <mergeCell ref="E3:F3"/>
    <mergeCell ref="E4:F4"/>
    <mergeCell ref="H3:I3"/>
    <mergeCell ref="H4:I4"/>
    <mergeCell ref="K3:L3"/>
    <mergeCell ref="K4:L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
  <sheetViews>
    <sheetView workbookViewId="0">
      <selection activeCell="B6" sqref="B6"/>
    </sheetView>
  </sheetViews>
  <sheetFormatPr defaultRowHeight="14.5" x14ac:dyDescent="0.35"/>
  <cols>
    <col min="1" max="1" width="12.36328125" customWidth="1"/>
    <col min="2" max="2" width="18.7265625" customWidth="1"/>
  </cols>
  <sheetData>
    <row r="1" spans="1:2" x14ac:dyDescent="0.35">
      <c r="A1" s="4" t="s">
        <v>6</v>
      </c>
      <c r="B1" t="s">
        <v>9</v>
      </c>
    </row>
    <row r="3" spans="1:2" x14ac:dyDescent="0.35">
      <c r="A3" s="4" t="s">
        <v>73</v>
      </c>
      <c r="B3" t="s">
        <v>75</v>
      </c>
    </row>
    <row r="4" spans="1:2" x14ac:dyDescent="0.35">
      <c r="A4" s="5">
        <v>1989</v>
      </c>
      <c r="B4" s="7">
        <v>12.7</v>
      </c>
    </row>
    <row r="5" spans="1:2" x14ac:dyDescent="0.35">
      <c r="A5" s="5">
        <v>1993</v>
      </c>
      <c r="B5" s="7">
        <v>30.066666666666666</v>
      </c>
    </row>
    <row r="6" spans="1:2" x14ac:dyDescent="0.35">
      <c r="A6" s="5">
        <v>2003</v>
      </c>
      <c r="B6" s="7">
        <v>43.55</v>
      </c>
    </row>
    <row r="7" spans="1:2" x14ac:dyDescent="0.35">
      <c r="A7" s="5">
        <v>2008</v>
      </c>
      <c r="B7" s="7">
        <v>32.533333333333331</v>
      </c>
    </row>
    <row r="8" spans="1:2" x14ac:dyDescent="0.35">
      <c r="A8" s="5">
        <v>2014</v>
      </c>
      <c r="B8" s="7">
        <v>36.56666666666667</v>
      </c>
    </row>
    <row r="9" spans="1:2" x14ac:dyDescent="0.35">
      <c r="A9" s="5">
        <v>2022</v>
      </c>
      <c r="B9" s="7">
        <v>14.3</v>
      </c>
    </row>
    <row r="10" spans="1:2" x14ac:dyDescent="0.35">
      <c r="A10" s="5" t="s">
        <v>74</v>
      </c>
      <c r="B10" s="7">
        <v>31.661538461538463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
  <sheetViews>
    <sheetView workbookViewId="0">
      <selection activeCell="M8" sqref="M8"/>
    </sheetView>
  </sheetViews>
  <sheetFormatPr defaultRowHeight="14.5" x14ac:dyDescent="0.35"/>
  <cols>
    <col min="1" max="1" width="18.7265625" customWidth="1"/>
    <col min="2" max="2" width="15.26953125" bestFit="1" customWidth="1"/>
    <col min="3" max="3" width="5.36328125" bestFit="1" customWidth="1"/>
    <col min="4" max="6" width="5.36328125" customWidth="1"/>
    <col min="7" max="7" width="10.7265625" customWidth="1"/>
    <col min="8" max="8" width="11.81640625" bestFit="1" customWidth="1"/>
  </cols>
  <sheetData>
    <row r="1" spans="1:7" x14ac:dyDescent="0.35">
      <c r="A1" s="4" t="s">
        <v>6</v>
      </c>
      <c r="B1" t="s">
        <v>20</v>
      </c>
    </row>
    <row r="3" spans="1:7" x14ac:dyDescent="0.35">
      <c r="A3" s="4" t="s">
        <v>75</v>
      </c>
      <c r="B3" s="4" t="s">
        <v>76</v>
      </c>
    </row>
    <row r="4" spans="1:7" x14ac:dyDescent="0.35">
      <c r="A4" s="4" t="s">
        <v>73</v>
      </c>
      <c r="B4">
        <v>1993</v>
      </c>
      <c r="C4">
        <v>2003</v>
      </c>
      <c r="D4">
        <v>2008</v>
      </c>
      <c r="E4">
        <v>2014</v>
      </c>
      <c r="F4">
        <v>2022</v>
      </c>
      <c r="G4" t="s">
        <v>74</v>
      </c>
    </row>
    <row r="5" spans="1:7" x14ac:dyDescent="0.35">
      <c r="A5" s="5" t="s">
        <v>85</v>
      </c>
      <c r="B5" s="6">
        <v>55.9</v>
      </c>
      <c r="C5" s="6">
        <v>36.4</v>
      </c>
      <c r="D5" s="6">
        <v>58</v>
      </c>
      <c r="E5" s="6">
        <v>66</v>
      </c>
      <c r="F5" s="6">
        <v>58.1</v>
      </c>
      <c r="G5" s="6">
        <v>54.88000000000001</v>
      </c>
    </row>
    <row r="6" spans="1:7" x14ac:dyDescent="0.35">
      <c r="A6" s="5" t="s">
        <v>91</v>
      </c>
      <c r="B6" s="6">
        <v>16.7</v>
      </c>
      <c r="C6" s="6"/>
      <c r="D6" s="6">
        <v>14.2</v>
      </c>
      <c r="E6" s="6">
        <v>15.9</v>
      </c>
      <c r="F6" s="6">
        <v>14.3</v>
      </c>
      <c r="G6" s="6">
        <v>15.274999999999999</v>
      </c>
    </row>
    <row r="7" spans="1:7" x14ac:dyDescent="0.35">
      <c r="A7" s="5" t="s">
        <v>88</v>
      </c>
      <c r="B7" s="6">
        <v>43.9</v>
      </c>
      <c r="C7" s="6">
        <v>34.200000000000003</v>
      </c>
      <c r="D7" s="6">
        <v>26.1</v>
      </c>
      <c r="E7" s="6">
        <v>21.5</v>
      </c>
      <c r="F7" s="6">
        <v>28.3</v>
      </c>
      <c r="G7" s="6">
        <v>30.8</v>
      </c>
    </row>
    <row r="8" spans="1:7" x14ac:dyDescent="0.35">
      <c r="A8" s="5" t="s">
        <v>94</v>
      </c>
      <c r="B8" s="6">
        <v>18.2</v>
      </c>
      <c r="C8" s="6">
        <v>31.8</v>
      </c>
      <c r="D8" s="6">
        <v>13</v>
      </c>
      <c r="E8" s="6">
        <v>18.2</v>
      </c>
      <c r="F8" s="6">
        <v>18.600000000000001</v>
      </c>
      <c r="G8" s="6">
        <v>19.96</v>
      </c>
    </row>
    <row r="9" spans="1:7" x14ac:dyDescent="0.35">
      <c r="A9" s="5" t="s">
        <v>86</v>
      </c>
      <c r="B9" s="6">
        <v>31.6</v>
      </c>
      <c r="C9" s="6">
        <v>29.2</v>
      </c>
      <c r="D9" s="6">
        <v>71.5</v>
      </c>
      <c r="E9" s="6">
        <v>53.8</v>
      </c>
      <c r="F9" s="6">
        <v>48.3</v>
      </c>
      <c r="G9" s="6">
        <v>46.88000000000001</v>
      </c>
    </row>
    <row r="10" spans="1:7" x14ac:dyDescent="0.35">
      <c r="A10" s="5" t="s">
        <v>74</v>
      </c>
      <c r="B10" s="6">
        <v>33.26</v>
      </c>
      <c r="C10" s="6">
        <v>32.9</v>
      </c>
      <c r="D10" s="6">
        <v>36.56</v>
      </c>
      <c r="E10" s="6">
        <v>35.08</v>
      </c>
      <c r="F10" s="6">
        <v>33.520000000000003</v>
      </c>
      <c r="G10" s="6">
        <v>34.320833333333333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
  <sheetViews>
    <sheetView topLeftCell="A4" zoomScale="90" zoomScaleNormal="90" workbookViewId="0">
      <selection activeCell="A3" sqref="A3"/>
    </sheetView>
  </sheetViews>
  <sheetFormatPr defaultRowHeight="14.5" x14ac:dyDescent="0.35"/>
  <cols>
    <col min="1" max="1" width="21.6328125" bestFit="1" customWidth="1"/>
    <col min="2" max="2" width="18" bestFit="1" customWidth="1"/>
    <col min="3" max="7" width="5.453125" bestFit="1" customWidth="1"/>
    <col min="8" max="8" width="11" bestFit="1" customWidth="1"/>
  </cols>
  <sheetData>
    <row r="1" spans="1:8" x14ac:dyDescent="0.35">
      <c r="A1" s="4" t="s">
        <v>6</v>
      </c>
      <c r="B1" t="s">
        <v>11</v>
      </c>
    </row>
    <row r="3" spans="1:8" x14ac:dyDescent="0.35">
      <c r="A3" s="4" t="s">
        <v>75</v>
      </c>
      <c r="B3" s="4" t="s">
        <v>76</v>
      </c>
    </row>
    <row r="4" spans="1:8" x14ac:dyDescent="0.35">
      <c r="A4" s="4" t="s">
        <v>73</v>
      </c>
      <c r="B4">
        <v>1989</v>
      </c>
      <c r="C4">
        <v>1993</v>
      </c>
      <c r="D4">
        <v>2003</v>
      </c>
      <c r="E4">
        <v>2008</v>
      </c>
      <c r="F4">
        <v>2014</v>
      </c>
      <c r="G4">
        <v>2022</v>
      </c>
      <c r="H4" t="s">
        <v>74</v>
      </c>
    </row>
    <row r="5" spans="1:8" x14ac:dyDescent="0.35">
      <c r="A5" s="5" t="s">
        <v>79</v>
      </c>
      <c r="B5" s="6">
        <v>28.7</v>
      </c>
      <c r="C5" s="6">
        <v>43.9</v>
      </c>
      <c r="D5" s="6">
        <v>34.200000000000003</v>
      </c>
      <c r="E5" s="6">
        <v>26.1</v>
      </c>
      <c r="F5" s="6">
        <v>21.5</v>
      </c>
      <c r="G5" s="6">
        <v>28.3</v>
      </c>
      <c r="H5" s="6">
        <v>30.450000000000003</v>
      </c>
    </row>
    <row r="6" spans="1:8" x14ac:dyDescent="0.35">
      <c r="A6" s="5" t="s">
        <v>97</v>
      </c>
      <c r="B6" s="6"/>
      <c r="C6" s="6"/>
      <c r="D6" s="6">
        <v>19</v>
      </c>
      <c r="E6" s="6">
        <v>38.9</v>
      </c>
      <c r="F6" s="6">
        <v>34.200000000000003</v>
      </c>
      <c r="G6" s="6">
        <v>31.1</v>
      </c>
      <c r="H6" s="6">
        <v>30.799999999999997</v>
      </c>
    </row>
    <row r="7" spans="1:8" x14ac:dyDescent="0.35">
      <c r="A7" s="5" t="s">
        <v>80</v>
      </c>
      <c r="B7" s="6">
        <v>71.3</v>
      </c>
      <c r="C7" s="6">
        <v>39.299999999999997</v>
      </c>
      <c r="D7" s="6">
        <v>32.9</v>
      </c>
      <c r="E7" s="6">
        <v>31.7</v>
      </c>
      <c r="F7" s="6">
        <v>36.9</v>
      </c>
      <c r="G7" s="6">
        <v>35.6</v>
      </c>
      <c r="H7" s="6">
        <v>41.283333333333331</v>
      </c>
    </row>
    <row r="8" spans="1:8" x14ac:dyDescent="0.35">
      <c r="A8" s="5" t="s">
        <v>74</v>
      </c>
      <c r="B8" s="6">
        <v>50</v>
      </c>
      <c r="C8" s="6">
        <v>41.599999999999994</v>
      </c>
      <c r="D8" s="6">
        <v>28.7</v>
      </c>
      <c r="E8" s="6">
        <v>32.233333333333334</v>
      </c>
      <c r="F8" s="6">
        <v>30.866666666666664</v>
      </c>
      <c r="G8" s="6">
        <v>31.666666666666668</v>
      </c>
      <c r="H8" s="6">
        <v>34.599999999999994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54"/>
  <sheetViews>
    <sheetView topLeftCell="B4" workbookViewId="0">
      <selection sqref="A1:H154"/>
    </sheetView>
  </sheetViews>
  <sheetFormatPr defaultRowHeight="14.5" x14ac:dyDescent="0.35"/>
  <cols>
    <col min="1" max="1" width="73.81640625" bestFit="1" customWidth="1"/>
    <col min="2" max="2" width="11.453125" bestFit="1" customWidth="1"/>
    <col min="3" max="3" width="6.81640625" bestFit="1" customWidth="1"/>
    <col min="4" max="4" width="15.1796875" bestFit="1" customWidth="1"/>
    <col min="5" max="5" width="13.36328125" bestFit="1" customWidth="1"/>
    <col min="6" max="6" width="20.453125" bestFit="1" customWidth="1"/>
    <col min="7" max="7" width="15.08984375" bestFit="1" customWidth="1"/>
    <col min="8" max="8" width="21.90625" bestFit="1" customWidth="1"/>
  </cols>
  <sheetData>
    <row r="1" spans="1:8" x14ac:dyDescent="0.35">
      <c r="A1" s="1" t="s">
        <v>0</v>
      </c>
      <c r="B1" s="1" t="s">
        <v>1</v>
      </c>
      <c r="C1" s="1" t="s">
        <v>2</v>
      </c>
      <c r="D1" s="1" t="s">
        <v>3</v>
      </c>
      <c r="E1" s="1" t="s">
        <v>4</v>
      </c>
      <c r="F1" s="1" t="s">
        <v>5</v>
      </c>
      <c r="G1" s="1" t="s">
        <v>6</v>
      </c>
      <c r="H1" s="1" t="s">
        <v>77</v>
      </c>
    </row>
    <row r="2" spans="1:8" x14ac:dyDescent="0.35">
      <c r="A2" s="1" t="s">
        <v>7</v>
      </c>
      <c r="B2" s="1">
        <v>12.7</v>
      </c>
      <c r="C2" s="1">
        <v>1989</v>
      </c>
      <c r="D2" s="1" t="s">
        <v>8</v>
      </c>
      <c r="E2" s="1">
        <v>6589</v>
      </c>
      <c r="F2" s="1">
        <v>6407</v>
      </c>
      <c r="G2" s="1" t="s">
        <v>9</v>
      </c>
      <c r="H2" s="1" t="s">
        <v>78</v>
      </c>
    </row>
    <row r="3" spans="1:8" x14ac:dyDescent="0.35">
      <c r="A3" s="1" t="s">
        <v>10</v>
      </c>
      <c r="B3" s="1">
        <v>28.7</v>
      </c>
      <c r="C3" s="1">
        <v>1989</v>
      </c>
      <c r="D3" s="1" t="s">
        <v>8</v>
      </c>
      <c r="E3" s="1">
        <v>838</v>
      </c>
      <c r="F3" s="1">
        <v>833</v>
      </c>
      <c r="G3" s="1" t="s">
        <v>11</v>
      </c>
      <c r="H3" s="1" t="s">
        <v>79</v>
      </c>
    </row>
    <row r="4" spans="1:8" x14ac:dyDescent="0.35">
      <c r="A4" s="1" t="s">
        <v>12</v>
      </c>
      <c r="B4" s="1">
        <v>71.3</v>
      </c>
      <c r="C4" s="1">
        <v>1989</v>
      </c>
      <c r="D4" s="1" t="s">
        <v>8</v>
      </c>
      <c r="E4" s="1">
        <v>838</v>
      </c>
      <c r="F4" s="1">
        <v>833</v>
      </c>
      <c r="G4" s="1" t="s">
        <v>11</v>
      </c>
      <c r="H4" s="1" t="s">
        <v>80</v>
      </c>
    </row>
    <row r="5" spans="1:8" x14ac:dyDescent="0.35">
      <c r="A5" s="1" t="s">
        <v>13</v>
      </c>
      <c r="B5" s="1">
        <v>5.8</v>
      </c>
      <c r="C5" s="1">
        <v>1989</v>
      </c>
      <c r="D5" s="1" t="s">
        <v>8</v>
      </c>
      <c r="E5" s="1">
        <v>838</v>
      </c>
      <c r="F5" s="1">
        <v>833</v>
      </c>
      <c r="G5" s="1" t="s">
        <v>11</v>
      </c>
      <c r="H5" s="1" t="s">
        <v>81</v>
      </c>
    </row>
    <row r="6" spans="1:8" x14ac:dyDescent="0.35">
      <c r="A6" s="1" t="s">
        <v>14</v>
      </c>
      <c r="B6" s="1">
        <v>94.2</v>
      </c>
      <c r="C6" s="1">
        <v>1989</v>
      </c>
      <c r="D6" s="1" t="s">
        <v>8</v>
      </c>
      <c r="E6" s="1">
        <v>838</v>
      </c>
      <c r="F6" s="1">
        <v>833</v>
      </c>
      <c r="G6" s="1" t="s">
        <v>11</v>
      </c>
      <c r="H6" s="1" t="s">
        <v>82</v>
      </c>
    </row>
    <row r="7" spans="1:8" x14ac:dyDescent="0.35">
      <c r="A7" s="1" t="s">
        <v>15</v>
      </c>
      <c r="B7" s="1">
        <v>28.7</v>
      </c>
      <c r="C7" s="1">
        <v>1989</v>
      </c>
      <c r="D7" s="1" t="s">
        <v>8</v>
      </c>
      <c r="E7" s="1">
        <v>838</v>
      </c>
      <c r="F7" s="1">
        <v>833</v>
      </c>
      <c r="G7" s="1" t="s">
        <v>11</v>
      </c>
      <c r="H7" s="1" t="s">
        <v>83</v>
      </c>
    </row>
    <row r="8" spans="1:8" x14ac:dyDescent="0.35">
      <c r="A8" s="1" t="s">
        <v>16</v>
      </c>
      <c r="B8" s="1">
        <v>70.099999999999994</v>
      </c>
      <c r="C8" s="1">
        <v>1989</v>
      </c>
      <c r="D8" s="1" t="s">
        <v>8</v>
      </c>
      <c r="E8" s="1">
        <v>838</v>
      </c>
      <c r="F8" s="1">
        <v>833</v>
      </c>
      <c r="G8" s="1" t="s">
        <v>11</v>
      </c>
      <c r="H8" s="1" t="s">
        <v>84</v>
      </c>
    </row>
    <row r="9" spans="1:8" x14ac:dyDescent="0.35">
      <c r="A9" s="1" t="s">
        <v>7</v>
      </c>
      <c r="B9" s="1">
        <v>13.8</v>
      </c>
      <c r="C9" s="1">
        <v>1993</v>
      </c>
      <c r="D9" s="1" t="s">
        <v>17</v>
      </c>
      <c r="E9" s="1">
        <v>5650</v>
      </c>
      <c r="F9" s="1">
        <v>5642</v>
      </c>
      <c r="G9" s="1" t="s">
        <v>9</v>
      </c>
      <c r="H9" s="1" t="s">
        <v>78</v>
      </c>
    </row>
    <row r="10" spans="1:8" x14ac:dyDescent="0.35">
      <c r="A10" s="1" t="s">
        <v>18</v>
      </c>
      <c r="B10" s="1">
        <v>2.4</v>
      </c>
      <c r="C10" s="1">
        <v>1993</v>
      </c>
      <c r="D10" s="1" t="s">
        <v>17</v>
      </c>
      <c r="E10" s="1">
        <v>5650</v>
      </c>
      <c r="F10" s="1">
        <v>5642</v>
      </c>
      <c r="G10" s="1" t="s">
        <v>9</v>
      </c>
      <c r="H10" s="1" t="s">
        <v>78</v>
      </c>
    </row>
    <row r="11" spans="1:8" x14ac:dyDescent="0.35">
      <c r="A11" s="1" t="s">
        <v>19</v>
      </c>
      <c r="B11" s="1">
        <v>55.9</v>
      </c>
      <c r="C11" s="1">
        <v>1993</v>
      </c>
      <c r="D11" s="1" t="s">
        <v>17</v>
      </c>
      <c r="E11" s="1">
        <v>779</v>
      </c>
      <c r="F11" s="1">
        <v>756</v>
      </c>
      <c r="G11" s="1" t="s">
        <v>20</v>
      </c>
      <c r="H11" s="1" t="s">
        <v>85</v>
      </c>
    </row>
    <row r="12" spans="1:8" x14ac:dyDescent="0.35">
      <c r="A12" s="1" t="s">
        <v>21</v>
      </c>
      <c r="B12" s="1">
        <v>31.6</v>
      </c>
      <c r="C12" s="1">
        <v>1993</v>
      </c>
      <c r="D12" s="1" t="s">
        <v>17</v>
      </c>
      <c r="E12" s="1">
        <v>779</v>
      </c>
      <c r="F12" s="1">
        <v>756</v>
      </c>
      <c r="G12" s="1" t="s">
        <v>20</v>
      </c>
      <c r="H12" s="1" t="s">
        <v>86</v>
      </c>
    </row>
    <row r="13" spans="1:8" x14ac:dyDescent="0.35">
      <c r="A13" s="1" t="s">
        <v>22</v>
      </c>
      <c r="B13" s="1">
        <v>31.6</v>
      </c>
      <c r="C13" s="1">
        <v>1993</v>
      </c>
      <c r="D13" s="1" t="s">
        <v>17</v>
      </c>
      <c r="E13" s="1">
        <v>779</v>
      </c>
      <c r="F13" s="1">
        <v>756</v>
      </c>
      <c r="G13" s="1" t="s">
        <v>20</v>
      </c>
      <c r="H13" s="1" t="s">
        <v>87</v>
      </c>
    </row>
    <row r="14" spans="1:8" x14ac:dyDescent="0.35">
      <c r="A14" s="1" t="s">
        <v>23</v>
      </c>
      <c r="B14" s="1">
        <v>43.9</v>
      </c>
      <c r="C14" s="1">
        <v>1993</v>
      </c>
      <c r="D14" s="1" t="s">
        <v>17</v>
      </c>
      <c r="E14" s="1">
        <v>779</v>
      </c>
      <c r="F14" s="1">
        <v>756</v>
      </c>
      <c r="G14" s="1" t="s">
        <v>20</v>
      </c>
      <c r="H14" s="1" t="s">
        <v>88</v>
      </c>
    </row>
    <row r="15" spans="1:8" x14ac:dyDescent="0.35">
      <c r="A15" s="1" t="s">
        <v>24</v>
      </c>
      <c r="B15" s="1">
        <v>57.4</v>
      </c>
      <c r="C15" s="1">
        <v>1993</v>
      </c>
      <c r="D15" s="1" t="s">
        <v>17</v>
      </c>
      <c r="E15" s="1">
        <v>779</v>
      </c>
      <c r="F15" s="1">
        <v>756</v>
      </c>
      <c r="G15" s="1" t="s">
        <v>20</v>
      </c>
      <c r="H15" s="1" t="s">
        <v>89</v>
      </c>
    </row>
    <row r="16" spans="1:8" x14ac:dyDescent="0.35">
      <c r="A16" s="1" t="s">
        <v>25</v>
      </c>
      <c r="B16" s="1">
        <v>42.6</v>
      </c>
      <c r="C16" s="1">
        <v>1993</v>
      </c>
      <c r="D16" s="1" t="s">
        <v>17</v>
      </c>
      <c r="E16" s="1">
        <v>779</v>
      </c>
      <c r="F16" s="1">
        <v>756</v>
      </c>
      <c r="G16" s="1" t="s">
        <v>20</v>
      </c>
      <c r="H16" s="1" t="s">
        <v>90</v>
      </c>
    </row>
    <row r="17" spans="1:8" x14ac:dyDescent="0.35">
      <c r="A17" s="1" t="s">
        <v>26</v>
      </c>
      <c r="B17" s="1">
        <v>16.7</v>
      </c>
      <c r="C17" s="1">
        <v>1993</v>
      </c>
      <c r="D17" s="1" t="s">
        <v>17</v>
      </c>
      <c r="E17" s="1">
        <v>779</v>
      </c>
      <c r="F17" s="1">
        <v>756</v>
      </c>
      <c r="G17" s="1" t="s">
        <v>20</v>
      </c>
      <c r="H17" s="1" t="s">
        <v>91</v>
      </c>
    </row>
    <row r="18" spans="1:8" x14ac:dyDescent="0.35">
      <c r="A18" s="1" t="s">
        <v>27</v>
      </c>
      <c r="B18" s="1">
        <v>0.2</v>
      </c>
      <c r="C18" s="1">
        <v>1993</v>
      </c>
      <c r="D18" s="1" t="s">
        <v>17</v>
      </c>
      <c r="E18" s="1">
        <v>779</v>
      </c>
      <c r="F18" s="1">
        <v>756</v>
      </c>
      <c r="G18" s="1" t="s">
        <v>20</v>
      </c>
      <c r="H18" s="1" t="s">
        <v>92</v>
      </c>
    </row>
    <row r="19" spans="1:8" x14ac:dyDescent="0.35">
      <c r="A19" s="1" t="s">
        <v>28</v>
      </c>
      <c r="B19" s="1">
        <v>35.799999999999997</v>
      </c>
      <c r="C19" s="1">
        <v>1993</v>
      </c>
      <c r="D19" s="1" t="s">
        <v>17</v>
      </c>
      <c r="E19" s="1">
        <v>779</v>
      </c>
      <c r="F19" s="1">
        <v>756</v>
      </c>
      <c r="G19" s="1" t="s">
        <v>20</v>
      </c>
      <c r="H19" s="1" t="s">
        <v>93</v>
      </c>
    </row>
    <row r="20" spans="1:8" x14ac:dyDescent="0.35">
      <c r="A20" s="1" t="s">
        <v>29</v>
      </c>
      <c r="B20" s="1">
        <v>18.2</v>
      </c>
      <c r="C20" s="1">
        <v>1993</v>
      </c>
      <c r="D20" s="1" t="s">
        <v>17</v>
      </c>
      <c r="E20" s="1">
        <v>779</v>
      </c>
      <c r="F20" s="1">
        <v>756</v>
      </c>
      <c r="G20" s="1" t="s">
        <v>20</v>
      </c>
      <c r="H20" s="1" t="s">
        <v>94</v>
      </c>
    </row>
    <row r="21" spans="1:8" x14ac:dyDescent="0.35">
      <c r="A21" s="1" t="s">
        <v>30</v>
      </c>
      <c r="B21" s="1">
        <v>1.9</v>
      </c>
      <c r="C21" s="1">
        <v>1993</v>
      </c>
      <c r="D21" s="1" t="s">
        <v>17</v>
      </c>
      <c r="E21" s="1">
        <v>779</v>
      </c>
      <c r="F21" s="1">
        <v>756</v>
      </c>
      <c r="G21" s="1" t="s">
        <v>20</v>
      </c>
      <c r="H21" s="1" t="s">
        <v>95</v>
      </c>
    </row>
    <row r="22" spans="1:8" x14ac:dyDescent="0.35">
      <c r="A22" s="1" t="s">
        <v>10</v>
      </c>
      <c r="B22" s="1">
        <v>43.9</v>
      </c>
      <c r="C22" s="1">
        <v>1993</v>
      </c>
      <c r="D22" s="1" t="s">
        <v>17</v>
      </c>
      <c r="E22" s="1">
        <v>779</v>
      </c>
      <c r="F22" s="1">
        <v>756</v>
      </c>
      <c r="G22" s="1" t="s">
        <v>11</v>
      </c>
      <c r="H22" s="1" t="s">
        <v>79</v>
      </c>
    </row>
    <row r="23" spans="1:8" x14ac:dyDescent="0.35">
      <c r="A23" s="1" t="s">
        <v>12</v>
      </c>
      <c r="B23" s="1">
        <v>39.299999999999997</v>
      </c>
      <c r="C23" s="1">
        <v>1993</v>
      </c>
      <c r="D23" s="1" t="s">
        <v>17</v>
      </c>
      <c r="E23" s="1">
        <v>779</v>
      </c>
      <c r="F23" s="1">
        <v>756</v>
      </c>
      <c r="G23" s="1" t="s">
        <v>11</v>
      </c>
      <c r="H23" s="1" t="s">
        <v>80</v>
      </c>
    </row>
    <row r="24" spans="1:8" x14ac:dyDescent="0.35">
      <c r="A24" s="1" t="s">
        <v>31</v>
      </c>
      <c r="B24" s="1">
        <v>14.3</v>
      </c>
      <c r="C24" s="1">
        <v>1993</v>
      </c>
      <c r="D24" s="1" t="s">
        <v>17</v>
      </c>
      <c r="E24" s="1">
        <v>779</v>
      </c>
      <c r="F24" s="1">
        <v>756</v>
      </c>
      <c r="G24" s="1" t="s">
        <v>11</v>
      </c>
      <c r="H24" s="1" t="s">
        <v>96</v>
      </c>
    </row>
    <row r="25" spans="1:8" x14ac:dyDescent="0.35">
      <c r="A25" s="1" t="s">
        <v>32</v>
      </c>
      <c r="B25" s="1">
        <v>2.5</v>
      </c>
      <c r="C25" s="1">
        <v>1993</v>
      </c>
      <c r="D25" s="1" t="s">
        <v>17</v>
      </c>
      <c r="E25" s="1">
        <v>779</v>
      </c>
      <c r="F25" s="1">
        <v>756</v>
      </c>
      <c r="G25" s="1" t="s">
        <v>11</v>
      </c>
      <c r="H25" s="1" t="s">
        <v>95</v>
      </c>
    </row>
    <row r="26" spans="1:8" x14ac:dyDescent="0.35">
      <c r="A26" s="1" t="s">
        <v>33</v>
      </c>
      <c r="B26" s="1">
        <v>74</v>
      </c>
      <c r="C26" s="1">
        <v>1993</v>
      </c>
      <c r="D26" s="1" t="s">
        <v>17</v>
      </c>
      <c r="E26" s="1">
        <v>3936</v>
      </c>
      <c r="F26" s="1">
        <v>3904</v>
      </c>
      <c r="G26" s="1" t="s">
        <v>9</v>
      </c>
      <c r="H26" s="1" t="s">
        <v>33</v>
      </c>
    </row>
    <row r="27" spans="1:8" x14ac:dyDescent="0.35">
      <c r="A27" s="1" t="s">
        <v>7</v>
      </c>
      <c r="B27" s="1">
        <v>16</v>
      </c>
      <c r="C27" s="1">
        <v>2003</v>
      </c>
      <c r="D27" s="1" t="s">
        <v>34</v>
      </c>
      <c r="E27" s="1">
        <v>5560</v>
      </c>
      <c r="F27" s="1">
        <v>5447</v>
      </c>
      <c r="G27" s="1" t="s">
        <v>9</v>
      </c>
      <c r="H27" s="1" t="s">
        <v>78</v>
      </c>
    </row>
    <row r="28" spans="1:8" x14ac:dyDescent="0.35">
      <c r="A28" s="1" t="s">
        <v>19</v>
      </c>
      <c r="B28" s="1">
        <v>36.4</v>
      </c>
      <c r="C28" s="1">
        <v>2003</v>
      </c>
      <c r="D28" s="1" t="s">
        <v>34</v>
      </c>
      <c r="E28" s="1">
        <v>888</v>
      </c>
      <c r="F28" s="1">
        <v>866</v>
      </c>
      <c r="G28" s="1" t="s">
        <v>20</v>
      </c>
      <c r="H28" s="1" t="s">
        <v>85</v>
      </c>
    </row>
    <row r="29" spans="1:8" x14ac:dyDescent="0.35">
      <c r="A29" s="1" t="s">
        <v>21</v>
      </c>
      <c r="B29" s="1">
        <v>29.2</v>
      </c>
      <c r="C29" s="1">
        <v>2003</v>
      </c>
      <c r="D29" s="1" t="s">
        <v>34</v>
      </c>
      <c r="E29" s="1">
        <v>888</v>
      </c>
      <c r="F29" s="1">
        <v>866</v>
      </c>
      <c r="G29" s="1" t="s">
        <v>20</v>
      </c>
      <c r="H29" s="1" t="s">
        <v>86</v>
      </c>
    </row>
    <row r="30" spans="1:8" x14ac:dyDescent="0.35">
      <c r="A30" s="1" t="s">
        <v>22</v>
      </c>
      <c r="B30" s="1">
        <v>29.2</v>
      </c>
      <c r="C30" s="1">
        <v>2003</v>
      </c>
      <c r="D30" s="1" t="s">
        <v>34</v>
      </c>
      <c r="E30" s="1">
        <v>888</v>
      </c>
      <c r="F30" s="1">
        <v>866</v>
      </c>
      <c r="G30" s="1" t="s">
        <v>20</v>
      </c>
      <c r="H30" s="1" t="s">
        <v>87</v>
      </c>
    </row>
    <row r="31" spans="1:8" x14ac:dyDescent="0.35">
      <c r="A31" s="1" t="s">
        <v>23</v>
      </c>
      <c r="B31" s="1">
        <v>34.200000000000003</v>
      </c>
      <c r="C31" s="1">
        <v>2003</v>
      </c>
      <c r="D31" s="1" t="s">
        <v>34</v>
      </c>
      <c r="E31" s="1">
        <v>888</v>
      </c>
      <c r="F31" s="1">
        <v>866</v>
      </c>
      <c r="G31" s="1" t="s">
        <v>20</v>
      </c>
      <c r="H31" s="1" t="s">
        <v>88</v>
      </c>
    </row>
    <row r="32" spans="1:8" x14ac:dyDescent="0.35">
      <c r="A32" s="1" t="s">
        <v>24</v>
      </c>
      <c r="B32" s="1">
        <v>50.6</v>
      </c>
      <c r="C32" s="1">
        <v>2003</v>
      </c>
      <c r="D32" s="1" t="s">
        <v>34</v>
      </c>
      <c r="E32" s="1">
        <v>888</v>
      </c>
      <c r="F32" s="1">
        <v>866</v>
      </c>
      <c r="G32" s="1" t="s">
        <v>20</v>
      </c>
      <c r="H32" s="1" t="s">
        <v>89</v>
      </c>
    </row>
    <row r="33" spans="1:8" x14ac:dyDescent="0.35">
      <c r="A33" s="1" t="s">
        <v>25</v>
      </c>
      <c r="B33" s="1">
        <v>49.4</v>
      </c>
      <c r="C33" s="1">
        <v>2003</v>
      </c>
      <c r="D33" s="1" t="s">
        <v>34</v>
      </c>
      <c r="E33" s="1">
        <v>888</v>
      </c>
      <c r="F33" s="1">
        <v>866</v>
      </c>
      <c r="G33" s="1" t="s">
        <v>20</v>
      </c>
      <c r="H33" s="1" t="s">
        <v>90</v>
      </c>
    </row>
    <row r="34" spans="1:8" x14ac:dyDescent="0.35">
      <c r="A34" s="1" t="s">
        <v>27</v>
      </c>
      <c r="B34" s="1">
        <v>1.4</v>
      </c>
      <c r="C34" s="1">
        <v>2003</v>
      </c>
      <c r="D34" s="1" t="s">
        <v>34</v>
      </c>
      <c r="E34" s="1">
        <v>888</v>
      </c>
      <c r="F34" s="1">
        <v>866</v>
      </c>
      <c r="G34" s="1" t="s">
        <v>20</v>
      </c>
      <c r="H34" s="1" t="s">
        <v>92</v>
      </c>
    </row>
    <row r="35" spans="1:8" x14ac:dyDescent="0.35">
      <c r="A35" s="1" t="s">
        <v>28</v>
      </c>
      <c r="B35" s="1">
        <v>36.200000000000003</v>
      </c>
      <c r="C35" s="1">
        <v>2003</v>
      </c>
      <c r="D35" s="1" t="s">
        <v>34</v>
      </c>
      <c r="E35" s="1">
        <v>888</v>
      </c>
      <c r="F35" s="1">
        <v>866</v>
      </c>
      <c r="G35" s="1" t="s">
        <v>20</v>
      </c>
      <c r="H35" s="1" t="s">
        <v>93</v>
      </c>
    </row>
    <row r="36" spans="1:8" x14ac:dyDescent="0.35">
      <c r="A36" s="1" t="s">
        <v>29</v>
      </c>
      <c r="B36" s="1">
        <v>31.8</v>
      </c>
      <c r="C36" s="1">
        <v>2003</v>
      </c>
      <c r="D36" s="1" t="s">
        <v>34</v>
      </c>
      <c r="E36" s="1">
        <v>888</v>
      </c>
      <c r="F36" s="1">
        <v>866</v>
      </c>
      <c r="G36" s="1" t="s">
        <v>20</v>
      </c>
      <c r="H36" s="1" t="s">
        <v>94</v>
      </c>
    </row>
    <row r="37" spans="1:8" x14ac:dyDescent="0.35">
      <c r="A37" s="1" t="s">
        <v>30</v>
      </c>
      <c r="B37" s="1">
        <v>0.2</v>
      </c>
      <c r="C37" s="1">
        <v>2003</v>
      </c>
      <c r="D37" s="1" t="s">
        <v>34</v>
      </c>
      <c r="E37" s="1">
        <v>888</v>
      </c>
      <c r="F37" s="1">
        <v>866</v>
      </c>
      <c r="G37" s="1" t="s">
        <v>20</v>
      </c>
      <c r="H37" s="1" t="s">
        <v>95</v>
      </c>
    </row>
    <row r="38" spans="1:8" x14ac:dyDescent="0.35">
      <c r="A38" s="1" t="s">
        <v>10</v>
      </c>
      <c r="B38" s="1">
        <v>34.200000000000003</v>
      </c>
      <c r="C38" s="1">
        <v>2003</v>
      </c>
      <c r="D38" s="1" t="s">
        <v>34</v>
      </c>
      <c r="E38" s="1">
        <v>888</v>
      </c>
      <c r="F38" s="1">
        <v>866</v>
      </c>
      <c r="G38" s="1" t="s">
        <v>11</v>
      </c>
      <c r="H38" s="1" t="s">
        <v>79</v>
      </c>
    </row>
    <row r="39" spans="1:8" x14ac:dyDescent="0.35">
      <c r="A39" s="1" t="s">
        <v>35</v>
      </c>
      <c r="B39" s="1">
        <v>19</v>
      </c>
      <c r="C39" s="1">
        <v>2003</v>
      </c>
      <c r="D39" s="1" t="s">
        <v>34</v>
      </c>
      <c r="E39" s="1">
        <v>888</v>
      </c>
      <c r="F39" s="1">
        <v>866</v>
      </c>
      <c r="G39" s="1" t="s">
        <v>11</v>
      </c>
      <c r="H39" s="1" t="s">
        <v>97</v>
      </c>
    </row>
    <row r="40" spans="1:8" x14ac:dyDescent="0.35">
      <c r="A40" s="1" t="s">
        <v>12</v>
      </c>
      <c r="B40" s="1">
        <v>32.9</v>
      </c>
      <c r="C40" s="1">
        <v>2003</v>
      </c>
      <c r="D40" s="1" t="s">
        <v>34</v>
      </c>
      <c r="E40" s="1">
        <v>888</v>
      </c>
      <c r="F40" s="1">
        <v>866</v>
      </c>
      <c r="G40" s="1" t="s">
        <v>11</v>
      </c>
      <c r="H40" s="1" t="s">
        <v>80</v>
      </c>
    </row>
    <row r="41" spans="1:8" x14ac:dyDescent="0.35">
      <c r="A41" s="1" t="s">
        <v>36</v>
      </c>
      <c r="B41" s="1">
        <v>15.1</v>
      </c>
      <c r="C41" s="1">
        <v>2003</v>
      </c>
      <c r="D41" s="1" t="s">
        <v>34</v>
      </c>
      <c r="E41" s="1">
        <v>888</v>
      </c>
      <c r="F41" s="1">
        <v>866</v>
      </c>
      <c r="G41" s="1" t="s">
        <v>11</v>
      </c>
      <c r="H41" s="1" t="s">
        <v>98</v>
      </c>
    </row>
    <row r="42" spans="1:8" x14ac:dyDescent="0.35">
      <c r="A42" s="1" t="s">
        <v>37</v>
      </c>
      <c r="B42" s="1">
        <v>13.4</v>
      </c>
      <c r="C42" s="1">
        <v>2003</v>
      </c>
      <c r="D42" s="1" t="s">
        <v>34</v>
      </c>
      <c r="E42" s="1">
        <v>888</v>
      </c>
      <c r="F42" s="1">
        <v>866</v>
      </c>
      <c r="G42" s="1" t="s">
        <v>11</v>
      </c>
      <c r="H42" s="1" t="s">
        <v>99</v>
      </c>
    </row>
    <row r="43" spans="1:8" x14ac:dyDescent="0.35">
      <c r="A43" s="1" t="s">
        <v>38</v>
      </c>
      <c r="B43" s="1">
        <v>4.0999999999999996</v>
      </c>
      <c r="C43" s="1">
        <v>2003</v>
      </c>
      <c r="D43" s="1" t="s">
        <v>34</v>
      </c>
      <c r="E43" s="1">
        <v>888</v>
      </c>
      <c r="F43" s="1">
        <v>866</v>
      </c>
      <c r="G43" s="1" t="s">
        <v>11</v>
      </c>
      <c r="H43" s="1" t="s">
        <v>100</v>
      </c>
    </row>
    <row r="44" spans="1:8" x14ac:dyDescent="0.35">
      <c r="A44" s="1" t="s">
        <v>32</v>
      </c>
      <c r="B44" s="1">
        <v>0.3</v>
      </c>
      <c r="C44" s="1">
        <v>2003</v>
      </c>
      <c r="D44" s="1" t="s">
        <v>34</v>
      </c>
      <c r="E44" s="1">
        <v>888</v>
      </c>
      <c r="F44" s="1">
        <v>866</v>
      </c>
      <c r="G44" s="1" t="s">
        <v>11</v>
      </c>
      <c r="H44" s="1" t="s">
        <v>95</v>
      </c>
    </row>
    <row r="45" spans="1:8" x14ac:dyDescent="0.35">
      <c r="A45" s="1" t="s">
        <v>13</v>
      </c>
      <c r="B45" s="1">
        <v>6.6</v>
      </c>
      <c r="C45" s="1">
        <v>2003</v>
      </c>
      <c r="D45" s="1" t="s">
        <v>34</v>
      </c>
      <c r="E45" s="1">
        <v>888</v>
      </c>
      <c r="F45" s="1">
        <v>866</v>
      </c>
      <c r="G45" s="1" t="s">
        <v>11</v>
      </c>
      <c r="H45" s="1" t="s">
        <v>81</v>
      </c>
    </row>
    <row r="46" spans="1:8" x14ac:dyDescent="0.35">
      <c r="A46" s="1" t="s">
        <v>14</v>
      </c>
      <c r="B46" s="1">
        <v>34.5</v>
      </c>
      <c r="C46" s="1">
        <v>2003</v>
      </c>
      <c r="D46" s="1" t="s">
        <v>34</v>
      </c>
      <c r="E46" s="1">
        <v>888</v>
      </c>
      <c r="F46" s="1">
        <v>866</v>
      </c>
      <c r="G46" s="1" t="s">
        <v>11</v>
      </c>
      <c r="H46" s="1" t="s">
        <v>82</v>
      </c>
    </row>
    <row r="47" spans="1:8" x14ac:dyDescent="0.35">
      <c r="A47" s="1" t="s">
        <v>39</v>
      </c>
      <c r="B47" s="1">
        <v>25.8</v>
      </c>
      <c r="C47" s="1">
        <v>2003</v>
      </c>
      <c r="D47" s="1" t="s">
        <v>34</v>
      </c>
      <c r="E47" s="1">
        <v>888</v>
      </c>
      <c r="F47" s="1">
        <v>866</v>
      </c>
      <c r="G47" s="1" t="s">
        <v>11</v>
      </c>
      <c r="H47" s="1" t="s">
        <v>101</v>
      </c>
    </row>
    <row r="48" spans="1:8" x14ac:dyDescent="0.35">
      <c r="A48" s="1" t="s">
        <v>40</v>
      </c>
      <c r="B48" s="1">
        <v>18.600000000000001</v>
      </c>
      <c r="C48" s="1">
        <v>2003</v>
      </c>
      <c r="D48" s="1" t="s">
        <v>34</v>
      </c>
      <c r="E48" s="1">
        <v>888</v>
      </c>
      <c r="F48" s="1">
        <v>866</v>
      </c>
      <c r="G48" s="1" t="s">
        <v>11</v>
      </c>
      <c r="H48" s="1" t="s">
        <v>102</v>
      </c>
    </row>
    <row r="49" spans="1:8" x14ac:dyDescent="0.35">
      <c r="A49" s="1" t="s">
        <v>41</v>
      </c>
      <c r="B49" s="1">
        <v>7.2</v>
      </c>
      <c r="C49" s="1">
        <v>2003</v>
      </c>
      <c r="D49" s="1" t="s">
        <v>34</v>
      </c>
      <c r="E49" s="1">
        <v>888</v>
      </c>
      <c r="F49" s="1">
        <v>866</v>
      </c>
      <c r="G49" s="1" t="s">
        <v>11</v>
      </c>
      <c r="H49" s="1" t="s">
        <v>103</v>
      </c>
    </row>
    <row r="50" spans="1:8" x14ac:dyDescent="0.35">
      <c r="A50" s="1" t="s">
        <v>42</v>
      </c>
      <c r="B50" s="1">
        <v>7.1</v>
      </c>
      <c r="C50" s="1">
        <v>2003</v>
      </c>
      <c r="D50" s="1" t="s">
        <v>34</v>
      </c>
      <c r="E50" s="1">
        <v>888</v>
      </c>
      <c r="F50" s="1">
        <v>866</v>
      </c>
      <c r="G50" s="1" t="s">
        <v>11</v>
      </c>
      <c r="H50" s="1" t="s">
        <v>104</v>
      </c>
    </row>
    <row r="51" spans="1:8" x14ac:dyDescent="0.35">
      <c r="A51" s="1" t="s">
        <v>43</v>
      </c>
      <c r="B51" s="1">
        <v>0.2</v>
      </c>
      <c r="C51" s="1">
        <v>2003</v>
      </c>
      <c r="D51" s="1" t="s">
        <v>34</v>
      </c>
      <c r="E51" s="1">
        <v>888</v>
      </c>
      <c r="F51" s="1">
        <v>866</v>
      </c>
      <c r="G51" s="1" t="s">
        <v>11</v>
      </c>
      <c r="H51" s="1" t="s">
        <v>95</v>
      </c>
    </row>
    <row r="52" spans="1:8" x14ac:dyDescent="0.35">
      <c r="A52" s="1" t="s">
        <v>15</v>
      </c>
      <c r="B52" s="1">
        <v>22.5</v>
      </c>
      <c r="C52" s="1">
        <v>2003</v>
      </c>
      <c r="D52" s="1" t="s">
        <v>34</v>
      </c>
      <c r="E52" s="1">
        <v>888</v>
      </c>
      <c r="F52" s="1">
        <v>866</v>
      </c>
      <c r="G52" s="1" t="s">
        <v>11</v>
      </c>
      <c r="H52" s="1" t="s">
        <v>83</v>
      </c>
    </row>
    <row r="53" spans="1:8" x14ac:dyDescent="0.35">
      <c r="A53" s="1" t="s">
        <v>16</v>
      </c>
      <c r="B53" s="1">
        <v>33.299999999999997</v>
      </c>
      <c r="C53" s="1">
        <v>2003</v>
      </c>
      <c r="D53" s="1" t="s">
        <v>34</v>
      </c>
      <c r="E53" s="1">
        <v>888</v>
      </c>
      <c r="F53" s="1">
        <v>866</v>
      </c>
      <c r="G53" s="1" t="s">
        <v>11</v>
      </c>
      <c r="H53" s="1" t="s">
        <v>84</v>
      </c>
    </row>
    <row r="54" spans="1:8" x14ac:dyDescent="0.35">
      <c r="A54" s="1" t="s">
        <v>33</v>
      </c>
      <c r="B54" s="1">
        <v>71.099999999999994</v>
      </c>
      <c r="C54" s="1">
        <v>2003</v>
      </c>
      <c r="D54" s="1" t="s">
        <v>34</v>
      </c>
      <c r="E54" s="1">
        <v>4052</v>
      </c>
      <c r="F54" s="1">
        <v>3972</v>
      </c>
      <c r="G54" s="1" t="s">
        <v>9</v>
      </c>
      <c r="H54" s="1" t="s">
        <v>33</v>
      </c>
    </row>
    <row r="55" spans="1:8" x14ac:dyDescent="0.35">
      <c r="A55" s="1" t="s">
        <v>7</v>
      </c>
      <c r="B55" s="1">
        <v>16.600000000000001</v>
      </c>
      <c r="C55" s="1">
        <v>2008</v>
      </c>
      <c r="D55" s="1" t="s">
        <v>44</v>
      </c>
      <c r="E55" s="1">
        <v>5481</v>
      </c>
      <c r="F55" s="1">
        <v>5706</v>
      </c>
      <c r="G55" s="1" t="s">
        <v>9</v>
      </c>
      <c r="H55" s="1" t="s">
        <v>78</v>
      </c>
    </row>
    <row r="56" spans="1:8" x14ac:dyDescent="0.35">
      <c r="A56" s="1" t="s">
        <v>18</v>
      </c>
      <c r="B56" s="1">
        <v>2.6</v>
      </c>
      <c r="C56" s="1">
        <v>2008</v>
      </c>
      <c r="D56" s="1" t="s">
        <v>44</v>
      </c>
      <c r="E56" s="1">
        <v>5481</v>
      </c>
      <c r="F56" s="1">
        <v>5706</v>
      </c>
      <c r="G56" s="1" t="s">
        <v>9</v>
      </c>
      <c r="H56" s="1" t="s">
        <v>78</v>
      </c>
    </row>
    <row r="57" spans="1:8" x14ac:dyDescent="0.35">
      <c r="A57" s="1" t="s">
        <v>19</v>
      </c>
      <c r="B57" s="1">
        <v>58</v>
      </c>
      <c r="C57" s="1">
        <v>2008</v>
      </c>
      <c r="D57" s="1" t="s">
        <v>44</v>
      </c>
      <c r="E57" s="1">
        <v>909</v>
      </c>
      <c r="F57" s="1">
        <v>946</v>
      </c>
      <c r="G57" s="1" t="s">
        <v>20</v>
      </c>
      <c r="H57" s="1" t="s">
        <v>85</v>
      </c>
    </row>
    <row r="58" spans="1:8" x14ac:dyDescent="0.35">
      <c r="A58" s="1" t="s">
        <v>21</v>
      </c>
      <c r="B58" s="1">
        <v>71.5</v>
      </c>
      <c r="C58" s="1">
        <v>2008</v>
      </c>
      <c r="D58" s="1" t="s">
        <v>44</v>
      </c>
      <c r="E58" s="1">
        <v>909</v>
      </c>
      <c r="F58" s="1">
        <v>946</v>
      </c>
      <c r="G58" s="1" t="s">
        <v>20</v>
      </c>
      <c r="H58" s="1" t="s">
        <v>86</v>
      </c>
    </row>
    <row r="59" spans="1:8" x14ac:dyDescent="0.35">
      <c r="A59" s="1" t="s">
        <v>45</v>
      </c>
      <c r="B59" s="1">
        <v>25.9</v>
      </c>
      <c r="C59" s="1">
        <v>2008</v>
      </c>
      <c r="D59" s="1" t="s">
        <v>44</v>
      </c>
      <c r="E59" s="1">
        <v>909</v>
      </c>
      <c r="F59" s="1">
        <v>946</v>
      </c>
      <c r="G59" s="1" t="s">
        <v>20</v>
      </c>
      <c r="H59" s="1" t="s">
        <v>105</v>
      </c>
    </row>
    <row r="60" spans="1:8" x14ac:dyDescent="0.35">
      <c r="A60" s="1" t="s">
        <v>22</v>
      </c>
      <c r="B60" s="1">
        <v>71.5</v>
      </c>
      <c r="C60" s="1">
        <v>2008</v>
      </c>
      <c r="D60" s="1" t="s">
        <v>44</v>
      </c>
      <c r="E60" s="1">
        <v>909</v>
      </c>
      <c r="F60" s="1">
        <v>946</v>
      </c>
      <c r="G60" s="1" t="s">
        <v>20</v>
      </c>
      <c r="H60" s="1" t="s">
        <v>87</v>
      </c>
    </row>
    <row r="61" spans="1:8" x14ac:dyDescent="0.35">
      <c r="A61" s="1" t="s">
        <v>46</v>
      </c>
      <c r="B61" s="1">
        <v>0.2</v>
      </c>
      <c r="C61" s="1">
        <v>2008</v>
      </c>
      <c r="D61" s="1" t="s">
        <v>44</v>
      </c>
      <c r="E61" s="1">
        <v>909</v>
      </c>
      <c r="F61" s="1">
        <v>946</v>
      </c>
      <c r="G61" s="1" t="s">
        <v>20</v>
      </c>
      <c r="H61" s="1" t="s">
        <v>106</v>
      </c>
    </row>
    <row r="62" spans="1:8" x14ac:dyDescent="0.35">
      <c r="A62" s="1" t="s">
        <v>23</v>
      </c>
      <c r="B62" s="1">
        <v>26.1</v>
      </c>
      <c r="C62" s="1">
        <v>2008</v>
      </c>
      <c r="D62" s="1" t="s">
        <v>44</v>
      </c>
      <c r="E62" s="1">
        <v>909</v>
      </c>
      <c r="F62" s="1">
        <v>946</v>
      </c>
      <c r="G62" s="1" t="s">
        <v>20</v>
      </c>
      <c r="H62" s="1" t="s">
        <v>88</v>
      </c>
    </row>
    <row r="63" spans="1:8" x14ac:dyDescent="0.35">
      <c r="A63" s="1" t="s">
        <v>24</v>
      </c>
      <c r="B63" s="1">
        <v>78.099999999999994</v>
      </c>
      <c r="C63" s="1">
        <v>2008</v>
      </c>
      <c r="D63" s="1" t="s">
        <v>44</v>
      </c>
      <c r="E63" s="1">
        <v>909</v>
      </c>
      <c r="F63" s="1">
        <v>946</v>
      </c>
      <c r="G63" s="1" t="s">
        <v>20</v>
      </c>
      <c r="H63" s="1" t="s">
        <v>89</v>
      </c>
    </row>
    <row r="64" spans="1:8" x14ac:dyDescent="0.35">
      <c r="A64" s="1" t="s">
        <v>25</v>
      </c>
      <c r="B64" s="1">
        <v>21.9</v>
      </c>
      <c r="C64" s="1">
        <v>2008</v>
      </c>
      <c r="D64" s="1" t="s">
        <v>44</v>
      </c>
      <c r="E64" s="1">
        <v>909</v>
      </c>
      <c r="F64" s="1">
        <v>946</v>
      </c>
      <c r="G64" s="1" t="s">
        <v>20</v>
      </c>
      <c r="H64" s="1" t="s">
        <v>90</v>
      </c>
    </row>
    <row r="65" spans="1:8" x14ac:dyDescent="0.35">
      <c r="A65" s="1" t="s">
        <v>26</v>
      </c>
      <c r="B65" s="1">
        <v>14.2</v>
      </c>
      <c r="C65" s="1">
        <v>2008</v>
      </c>
      <c r="D65" s="1" t="s">
        <v>44</v>
      </c>
      <c r="E65" s="1">
        <v>909</v>
      </c>
      <c r="F65" s="1">
        <v>946</v>
      </c>
      <c r="G65" s="1" t="s">
        <v>20</v>
      </c>
      <c r="H65" s="1" t="s">
        <v>91</v>
      </c>
    </row>
    <row r="66" spans="1:8" x14ac:dyDescent="0.35">
      <c r="A66" s="1" t="s">
        <v>47</v>
      </c>
      <c r="B66" s="1">
        <v>8.6999999999999993</v>
      </c>
      <c r="C66" s="1">
        <v>2008</v>
      </c>
      <c r="D66" s="1" t="s">
        <v>44</v>
      </c>
      <c r="E66" s="1">
        <v>909</v>
      </c>
      <c r="F66" s="1">
        <v>946</v>
      </c>
      <c r="G66" s="1" t="s">
        <v>20</v>
      </c>
      <c r="H66" s="1" t="s">
        <v>107</v>
      </c>
    </row>
    <row r="67" spans="1:8" x14ac:dyDescent="0.35">
      <c r="A67" s="1" t="s">
        <v>27</v>
      </c>
      <c r="B67" s="1">
        <v>0.2</v>
      </c>
      <c r="C67" s="1">
        <v>2008</v>
      </c>
      <c r="D67" s="1" t="s">
        <v>44</v>
      </c>
      <c r="E67" s="1">
        <v>909</v>
      </c>
      <c r="F67" s="1">
        <v>946</v>
      </c>
      <c r="G67" s="1" t="s">
        <v>20</v>
      </c>
      <c r="H67" s="1" t="s">
        <v>92</v>
      </c>
    </row>
    <row r="68" spans="1:8" x14ac:dyDescent="0.35">
      <c r="A68" s="1" t="s">
        <v>48</v>
      </c>
      <c r="B68" s="1">
        <v>2.1</v>
      </c>
      <c r="C68" s="1">
        <v>2008</v>
      </c>
      <c r="D68" s="1" t="s">
        <v>44</v>
      </c>
      <c r="E68" s="1">
        <v>909</v>
      </c>
      <c r="F68" s="1">
        <v>946</v>
      </c>
      <c r="G68" s="1" t="s">
        <v>20</v>
      </c>
      <c r="H68" s="1" t="s">
        <v>108</v>
      </c>
    </row>
    <row r="69" spans="1:8" x14ac:dyDescent="0.35">
      <c r="A69" s="1" t="s">
        <v>28</v>
      </c>
      <c r="B69" s="1">
        <v>23.6</v>
      </c>
      <c r="C69" s="1">
        <v>2008</v>
      </c>
      <c r="D69" s="1" t="s">
        <v>44</v>
      </c>
      <c r="E69" s="1">
        <v>909</v>
      </c>
      <c r="F69" s="1">
        <v>946</v>
      </c>
      <c r="G69" s="1" t="s">
        <v>20</v>
      </c>
      <c r="H69" s="1" t="s">
        <v>93</v>
      </c>
    </row>
    <row r="70" spans="1:8" x14ac:dyDescent="0.35">
      <c r="A70" s="1" t="s">
        <v>29</v>
      </c>
      <c r="B70" s="1">
        <v>13</v>
      </c>
      <c r="C70" s="1">
        <v>2008</v>
      </c>
      <c r="D70" s="1" t="s">
        <v>44</v>
      </c>
      <c r="E70" s="1">
        <v>909</v>
      </c>
      <c r="F70" s="1">
        <v>946</v>
      </c>
      <c r="G70" s="1" t="s">
        <v>20</v>
      </c>
      <c r="H70" s="1" t="s">
        <v>94</v>
      </c>
    </row>
    <row r="71" spans="1:8" x14ac:dyDescent="0.35">
      <c r="A71" s="1" t="s">
        <v>30</v>
      </c>
      <c r="B71" s="1">
        <v>0</v>
      </c>
      <c r="C71" s="1">
        <v>2008</v>
      </c>
      <c r="D71" s="1" t="s">
        <v>44</v>
      </c>
      <c r="E71" s="1">
        <v>909</v>
      </c>
      <c r="F71" s="1">
        <v>946</v>
      </c>
      <c r="G71" s="1" t="s">
        <v>20</v>
      </c>
      <c r="H71" s="1" t="s">
        <v>95</v>
      </c>
    </row>
    <row r="72" spans="1:8" x14ac:dyDescent="0.35">
      <c r="A72" s="1" t="s">
        <v>10</v>
      </c>
      <c r="B72" s="1">
        <v>26.1</v>
      </c>
      <c r="C72" s="1">
        <v>2008</v>
      </c>
      <c r="D72" s="1" t="s">
        <v>44</v>
      </c>
      <c r="E72" s="1">
        <v>909</v>
      </c>
      <c r="F72" s="1">
        <v>946</v>
      </c>
      <c r="G72" s="1" t="s">
        <v>11</v>
      </c>
      <c r="H72" s="1" t="s">
        <v>79</v>
      </c>
    </row>
    <row r="73" spans="1:8" x14ac:dyDescent="0.35">
      <c r="A73" s="1" t="s">
        <v>35</v>
      </c>
      <c r="B73" s="1">
        <v>38.9</v>
      </c>
      <c r="C73" s="1">
        <v>2008</v>
      </c>
      <c r="D73" s="1" t="s">
        <v>44</v>
      </c>
      <c r="E73" s="1">
        <v>909</v>
      </c>
      <c r="F73" s="1">
        <v>946</v>
      </c>
      <c r="G73" s="1" t="s">
        <v>11</v>
      </c>
      <c r="H73" s="1" t="s">
        <v>97</v>
      </c>
    </row>
    <row r="74" spans="1:8" x14ac:dyDescent="0.35">
      <c r="A74" s="1" t="s">
        <v>12</v>
      </c>
      <c r="B74" s="1">
        <v>31.7</v>
      </c>
      <c r="C74" s="1">
        <v>2008</v>
      </c>
      <c r="D74" s="1" t="s">
        <v>44</v>
      </c>
      <c r="E74" s="1">
        <v>909</v>
      </c>
      <c r="F74" s="1">
        <v>946</v>
      </c>
      <c r="G74" s="1" t="s">
        <v>11</v>
      </c>
      <c r="H74" s="1" t="s">
        <v>80</v>
      </c>
    </row>
    <row r="75" spans="1:8" x14ac:dyDescent="0.35">
      <c r="A75" s="1" t="s">
        <v>36</v>
      </c>
      <c r="B75" s="1">
        <v>17.100000000000001</v>
      </c>
      <c r="C75" s="1">
        <v>2008</v>
      </c>
      <c r="D75" s="1" t="s">
        <v>44</v>
      </c>
      <c r="E75" s="1">
        <v>909</v>
      </c>
      <c r="F75" s="1">
        <v>946</v>
      </c>
      <c r="G75" s="1" t="s">
        <v>11</v>
      </c>
      <c r="H75" s="1" t="s">
        <v>98</v>
      </c>
    </row>
    <row r="76" spans="1:8" x14ac:dyDescent="0.35">
      <c r="A76" s="1" t="s">
        <v>37</v>
      </c>
      <c r="B76" s="1">
        <v>23.1</v>
      </c>
      <c r="C76" s="1">
        <v>2008</v>
      </c>
      <c r="D76" s="1" t="s">
        <v>44</v>
      </c>
      <c r="E76" s="1">
        <v>909</v>
      </c>
      <c r="F76" s="1">
        <v>946</v>
      </c>
      <c r="G76" s="1" t="s">
        <v>11</v>
      </c>
      <c r="H76" s="1" t="s">
        <v>99</v>
      </c>
    </row>
    <row r="77" spans="1:8" x14ac:dyDescent="0.35">
      <c r="A77" s="1" t="s">
        <v>38</v>
      </c>
      <c r="B77" s="1">
        <v>1.8</v>
      </c>
      <c r="C77" s="1">
        <v>2008</v>
      </c>
      <c r="D77" s="1" t="s">
        <v>44</v>
      </c>
      <c r="E77" s="1">
        <v>909</v>
      </c>
      <c r="F77" s="1">
        <v>946</v>
      </c>
      <c r="G77" s="1" t="s">
        <v>11</v>
      </c>
      <c r="H77" s="1" t="s">
        <v>100</v>
      </c>
    </row>
    <row r="78" spans="1:8" x14ac:dyDescent="0.35">
      <c r="A78" s="1" t="s">
        <v>32</v>
      </c>
      <c r="B78" s="1">
        <v>0.1</v>
      </c>
      <c r="C78" s="1">
        <v>2008</v>
      </c>
      <c r="D78" s="1" t="s">
        <v>44</v>
      </c>
      <c r="E78" s="1">
        <v>909</v>
      </c>
      <c r="F78" s="1">
        <v>946</v>
      </c>
      <c r="G78" s="1" t="s">
        <v>11</v>
      </c>
      <c r="H78" s="1" t="s">
        <v>95</v>
      </c>
    </row>
    <row r="79" spans="1:8" x14ac:dyDescent="0.35">
      <c r="A79" s="1" t="s">
        <v>13</v>
      </c>
      <c r="B79" s="1">
        <v>5</v>
      </c>
      <c r="C79" s="1">
        <v>2008</v>
      </c>
      <c r="D79" s="1" t="s">
        <v>44</v>
      </c>
      <c r="E79" s="1">
        <v>909</v>
      </c>
      <c r="F79" s="1">
        <v>946</v>
      </c>
      <c r="G79" s="1" t="s">
        <v>11</v>
      </c>
      <c r="H79" s="1" t="s">
        <v>81</v>
      </c>
    </row>
    <row r="80" spans="1:8" x14ac:dyDescent="0.35">
      <c r="A80" s="1" t="s">
        <v>14</v>
      </c>
      <c r="B80" s="1">
        <v>28.7</v>
      </c>
      <c r="C80" s="1">
        <v>2008</v>
      </c>
      <c r="D80" s="1" t="s">
        <v>44</v>
      </c>
      <c r="E80" s="1">
        <v>909</v>
      </c>
      <c r="F80" s="1">
        <v>946</v>
      </c>
      <c r="G80" s="1" t="s">
        <v>11</v>
      </c>
      <c r="H80" s="1" t="s">
        <v>82</v>
      </c>
    </row>
    <row r="81" spans="1:8" x14ac:dyDescent="0.35">
      <c r="A81" s="1" t="s">
        <v>39</v>
      </c>
      <c r="B81" s="1">
        <v>22.5</v>
      </c>
      <c r="C81" s="1">
        <v>2008</v>
      </c>
      <c r="D81" s="1" t="s">
        <v>44</v>
      </c>
      <c r="E81" s="1">
        <v>909</v>
      </c>
      <c r="F81" s="1">
        <v>946</v>
      </c>
      <c r="G81" s="1" t="s">
        <v>11</v>
      </c>
      <c r="H81" s="1" t="s">
        <v>101</v>
      </c>
    </row>
    <row r="82" spans="1:8" x14ac:dyDescent="0.35">
      <c r="A82" s="1" t="s">
        <v>40</v>
      </c>
      <c r="B82" s="1">
        <v>30.6</v>
      </c>
      <c r="C82" s="1">
        <v>2008</v>
      </c>
      <c r="D82" s="1" t="s">
        <v>44</v>
      </c>
      <c r="E82" s="1">
        <v>909</v>
      </c>
      <c r="F82" s="1">
        <v>946</v>
      </c>
      <c r="G82" s="1" t="s">
        <v>11</v>
      </c>
      <c r="H82" s="1" t="s">
        <v>102</v>
      </c>
    </row>
    <row r="83" spans="1:8" x14ac:dyDescent="0.35">
      <c r="A83" s="1" t="s">
        <v>41</v>
      </c>
      <c r="B83" s="1">
        <v>5.9</v>
      </c>
      <c r="C83" s="1">
        <v>2008</v>
      </c>
      <c r="D83" s="1" t="s">
        <v>44</v>
      </c>
      <c r="E83" s="1">
        <v>909</v>
      </c>
      <c r="F83" s="1">
        <v>946</v>
      </c>
      <c r="G83" s="1" t="s">
        <v>11</v>
      </c>
      <c r="H83" s="1" t="s">
        <v>103</v>
      </c>
    </row>
    <row r="84" spans="1:8" x14ac:dyDescent="0.35">
      <c r="A84" s="1" t="s">
        <v>42</v>
      </c>
      <c r="B84" s="1">
        <v>7.2</v>
      </c>
      <c r="C84" s="1">
        <v>2008</v>
      </c>
      <c r="D84" s="1" t="s">
        <v>44</v>
      </c>
      <c r="E84" s="1">
        <v>909</v>
      </c>
      <c r="F84" s="1">
        <v>946</v>
      </c>
      <c r="G84" s="1" t="s">
        <v>11</v>
      </c>
      <c r="H84" s="1" t="s">
        <v>104</v>
      </c>
    </row>
    <row r="85" spans="1:8" x14ac:dyDescent="0.35">
      <c r="A85" s="1" t="s">
        <v>43</v>
      </c>
      <c r="B85" s="1">
        <v>0.1</v>
      </c>
      <c r="C85" s="1">
        <v>2008</v>
      </c>
      <c r="D85" s="1" t="s">
        <v>44</v>
      </c>
      <c r="E85" s="1">
        <v>909</v>
      </c>
      <c r="F85" s="1">
        <v>946</v>
      </c>
      <c r="G85" s="1" t="s">
        <v>11</v>
      </c>
      <c r="H85" s="1" t="s">
        <v>95</v>
      </c>
    </row>
    <row r="86" spans="1:8" x14ac:dyDescent="0.35">
      <c r="A86" s="1" t="s">
        <v>15</v>
      </c>
      <c r="B86" s="1">
        <v>15.4</v>
      </c>
      <c r="C86" s="1">
        <v>2008</v>
      </c>
      <c r="D86" s="1" t="s">
        <v>44</v>
      </c>
      <c r="E86" s="1">
        <v>909</v>
      </c>
      <c r="F86" s="1">
        <v>946</v>
      </c>
      <c r="G86" s="1" t="s">
        <v>11</v>
      </c>
      <c r="H86" s="1" t="s">
        <v>83</v>
      </c>
    </row>
    <row r="87" spans="1:8" x14ac:dyDescent="0.35">
      <c r="A87" s="1" t="s">
        <v>16</v>
      </c>
      <c r="B87" s="1">
        <v>42.6</v>
      </c>
      <c r="C87" s="1">
        <v>2008</v>
      </c>
      <c r="D87" s="1" t="s">
        <v>44</v>
      </c>
      <c r="E87" s="1">
        <v>909</v>
      </c>
      <c r="F87" s="1">
        <v>946</v>
      </c>
      <c r="G87" s="1" t="s">
        <v>11</v>
      </c>
      <c r="H87" s="1" t="s">
        <v>84</v>
      </c>
    </row>
    <row r="88" spans="1:8" x14ac:dyDescent="0.35">
      <c r="A88" s="1" t="s">
        <v>33</v>
      </c>
      <c r="B88" s="1">
        <v>78.400000000000006</v>
      </c>
      <c r="C88" s="1">
        <v>2008</v>
      </c>
      <c r="D88" s="1" t="s">
        <v>44</v>
      </c>
      <c r="E88" s="1">
        <v>3973</v>
      </c>
      <c r="F88" s="1">
        <v>4082</v>
      </c>
      <c r="G88" s="1" t="s">
        <v>9</v>
      </c>
      <c r="H88" s="1" t="s">
        <v>33</v>
      </c>
    </row>
    <row r="89" spans="1:8" x14ac:dyDescent="0.35">
      <c r="A89" s="1" t="s">
        <v>7</v>
      </c>
      <c r="B89" s="1">
        <v>15.2</v>
      </c>
      <c r="C89" s="1">
        <v>2014</v>
      </c>
      <c r="D89" s="1" t="s">
        <v>49</v>
      </c>
      <c r="E89" s="1">
        <v>18702</v>
      </c>
      <c r="F89" s="1">
        <v>20093</v>
      </c>
      <c r="G89" s="1" t="s">
        <v>9</v>
      </c>
      <c r="H89" s="1" t="s">
        <v>78</v>
      </c>
    </row>
    <row r="90" spans="1:8" x14ac:dyDescent="0.35">
      <c r="A90" s="1" t="s">
        <v>18</v>
      </c>
      <c r="B90" s="1">
        <v>1.7</v>
      </c>
      <c r="C90" s="1">
        <v>2014</v>
      </c>
      <c r="D90" s="1" t="s">
        <v>49</v>
      </c>
      <c r="E90" s="1">
        <v>18702</v>
      </c>
      <c r="F90" s="1">
        <v>20093</v>
      </c>
      <c r="G90" s="1" t="s">
        <v>9</v>
      </c>
      <c r="H90" s="1" t="s">
        <v>78</v>
      </c>
    </row>
    <row r="91" spans="1:8" x14ac:dyDescent="0.35">
      <c r="A91" s="1" t="s">
        <v>19</v>
      </c>
      <c r="B91" s="1">
        <v>66</v>
      </c>
      <c r="C91" s="1">
        <v>2014</v>
      </c>
      <c r="D91" s="1" t="s">
        <v>49</v>
      </c>
      <c r="E91" s="1">
        <v>2844</v>
      </c>
      <c r="F91" s="1">
        <v>2953</v>
      </c>
      <c r="G91" s="1" t="s">
        <v>20</v>
      </c>
      <c r="H91" s="1" t="s">
        <v>85</v>
      </c>
    </row>
    <row r="92" spans="1:8" x14ac:dyDescent="0.35">
      <c r="A92" s="1" t="s">
        <v>21</v>
      </c>
      <c r="B92" s="1">
        <v>53.8</v>
      </c>
      <c r="C92" s="1">
        <v>2014</v>
      </c>
      <c r="D92" s="1" t="s">
        <v>49</v>
      </c>
      <c r="E92" s="1">
        <v>2844</v>
      </c>
      <c r="F92" s="1">
        <v>2953</v>
      </c>
      <c r="G92" s="1" t="s">
        <v>20</v>
      </c>
      <c r="H92" s="1" t="s">
        <v>86</v>
      </c>
    </row>
    <row r="93" spans="1:8" x14ac:dyDescent="0.35">
      <c r="A93" s="1" t="s">
        <v>45</v>
      </c>
      <c r="B93" s="1">
        <v>28.5</v>
      </c>
      <c r="C93" s="1">
        <v>2014</v>
      </c>
      <c r="D93" s="1" t="s">
        <v>49</v>
      </c>
      <c r="E93" s="1">
        <v>2844</v>
      </c>
      <c r="F93" s="1">
        <v>2953</v>
      </c>
      <c r="G93" s="1" t="s">
        <v>20</v>
      </c>
      <c r="H93" s="1" t="s">
        <v>105</v>
      </c>
    </row>
    <row r="94" spans="1:8" x14ac:dyDescent="0.35">
      <c r="A94" s="1" t="s">
        <v>22</v>
      </c>
      <c r="B94" s="1">
        <v>64.599999999999994</v>
      </c>
      <c r="C94" s="1">
        <v>2014</v>
      </c>
      <c r="D94" s="1" t="s">
        <v>49</v>
      </c>
      <c r="E94" s="1">
        <v>2844</v>
      </c>
      <c r="F94" s="1">
        <v>2953</v>
      </c>
      <c r="G94" s="1" t="s">
        <v>20</v>
      </c>
      <c r="H94" s="1" t="s">
        <v>87</v>
      </c>
    </row>
    <row r="95" spans="1:8" x14ac:dyDescent="0.35">
      <c r="A95" s="1" t="s">
        <v>46</v>
      </c>
      <c r="B95" s="1">
        <v>8.1</v>
      </c>
      <c r="C95" s="1">
        <v>2014</v>
      </c>
      <c r="D95" s="1" t="s">
        <v>49</v>
      </c>
      <c r="E95" s="1">
        <v>2844</v>
      </c>
      <c r="F95" s="1">
        <v>2953</v>
      </c>
      <c r="G95" s="1" t="s">
        <v>20</v>
      </c>
      <c r="H95" s="1" t="s">
        <v>106</v>
      </c>
    </row>
    <row r="96" spans="1:8" x14ac:dyDescent="0.35">
      <c r="A96" s="1" t="s">
        <v>23</v>
      </c>
      <c r="B96" s="1">
        <v>21.5</v>
      </c>
      <c r="C96" s="1">
        <v>2014</v>
      </c>
      <c r="D96" s="1" t="s">
        <v>49</v>
      </c>
      <c r="E96" s="1">
        <v>2844</v>
      </c>
      <c r="F96" s="1">
        <v>2953</v>
      </c>
      <c r="G96" s="1" t="s">
        <v>20</v>
      </c>
      <c r="H96" s="1" t="s">
        <v>88</v>
      </c>
    </row>
    <row r="97" spans="1:8" x14ac:dyDescent="0.35">
      <c r="A97" s="1" t="s">
        <v>24</v>
      </c>
      <c r="B97" s="1">
        <v>70.599999999999994</v>
      </c>
      <c r="C97" s="1">
        <v>2014</v>
      </c>
      <c r="D97" s="1" t="s">
        <v>49</v>
      </c>
      <c r="E97" s="1">
        <v>2844</v>
      </c>
      <c r="F97" s="1">
        <v>2953</v>
      </c>
      <c r="G97" s="1" t="s">
        <v>20</v>
      </c>
      <c r="H97" s="1" t="s">
        <v>89</v>
      </c>
    </row>
    <row r="98" spans="1:8" x14ac:dyDescent="0.35">
      <c r="A98" s="1" t="s">
        <v>25</v>
      </c>
      <c r="B98" s="1">
        <v>29.4</v>
      </c>
      <c r="C98" s="1">
        <v>2014</v>
      </c>
      <c r="D98" s="1" t="s">
        <v>49</v>
      </c>
      <c r="E98" s="1">
        <v>2844</v>
      </c>
      <c r="F98" s="1">
        <v>2953</v>
      </c>
      <c r="G98" s="1" t="s">
        <v>20</v>
      </c>
      <c r="H98" s="1" t="s">
        <v>90</v>
      </c>
    </row>
    <row r="99" spans="1:8" x14ac:dyDescent="0.35">
      <c r="A99" s="1" t="s">
        <v>26</v>
      </c>
      <c r="B99" s="1">
        <v>15.9</v>
      </c>
      <c r="C99" s="1">
        <v>2014</v>
      </c>
      <c r="D99" s="1" t="s">
        <v>49</v>
      </c>
      <c r="E99" s="1">
        <v>2844</v>
      </c>
      <c r="F99" s="1">
        <v>2953</v>
      </c>
      <c r="G99" s="1" t="s">
        <v>20</v>
      </c>
      <c r="H99" s="1" t="s">
        <v>91</v>
      </c>
    </row>
    <row r="100" spans="1:8" x14ac:dyDescent="0.35">
      <c r="A100" s="1" t="s">
        <v>47</v>
      </c>
      <c r="B100" s="1">
        <v>1.1000000000000001</v>
      </c>
      <c r="C100" s="1">
        <v>2014</v>
      </c>
      <c r="D100" s="1" t="s">
        <v>49</v>
      </c>
      <c r="E100" s="1">
        <v>2844</v>
      </c>
      <c r="F100" s="1">
        <v>2953</v>
      </c>
      <c r="G100" s="1" t="s">
        <v>20</v>
      </c>
      <c r="H100" s="1" t="s">
        <v>107</v>
      </c>
    </row>
    <row r="101" spans="1:8" x14ac:dyDescent="0.35">
      <c r="A101" s="1" t="s">
        <v>27</v>
      </c>
      <c r="B101" s="1">
        <v>1.5</v>
      </c>
      <c r="C101" s="1">
        <v>2014</v>
      </c>
      <c r="D101" s="1" t="s">
        <v>49</v>
      </c>
      <c r="E101" s="1">
        <v>2844</v>
      </c>
      <c r="F101" s="1">
        <v>2953</v>
      </c>
      <c r="G101" s="1" t="s">
        <v>20</v>
      </c>
      <c r="H101" s="1" t="s">
        <v>92</v>
      </c>
    </row>
    <row r="102" spans="1:8" x14ac:dyDescent="0.35">
      <c r="A102" s="1" t="s">
        <v>48</v>
      </c>
      <c r="B102" s="1">
        <v>2.2000000000000002</v>
      </c>
      <c r="C102" s="1">
        <v>2014</v>
      </c>
      <c r="D102" s="1" t="s">
        <v>49</v>
      </c>
      <c r="E102" s="1">
        <v>2844</v>
      </c>
      <c r="F102" s="1">
        <v>2953</v>
      </c>
      <c r="G102" s="1" t="s">
        <v>20</v>
      </c>
      <c r="H102" s="1" t="s">
        <v>108</v>
      </c>
    </row>
    <row r="103" spans="1:8" x14ac:dyDescent="0.35">
      <c r="A103" s="1" t="s">
        <v>28</v>
      </c>
      <c r="B103" s="1">
        <v>18.899999999999999</v>
      </c>
      <c r="C103" s="1">
        <v>2014</v>
      </c>
      <c r="D103" s="1" t="s">
        <v>49</v>
      </c>
      <c r="E103" s="1">
        <v>2844</v>
      </c>
      <c r="F103" s="1">
        <v>2953</v>
      </c>
      <c r="G103" s="1" t="s">
        <v>20</v>
      </c>
      <c r="H103" s="1" t="s">
        <v>93</v>
      </c>
    </row>
    <row r="104" spans="1:8" x14ac:dyDescent="0.35">
      <c r="A104" s="1" t="s">
        <v>29</v>
      </c>
      <c r="B104" s="1">
        <v>18.2</v>
      </c>
      <c r="C104" s="1">
        <v>2014</v>
      </c>
      <c r="D104" s="1" t="s">
        <v>49</v>
      </c>
      <c r="E104" s="1">
        <v>2844</v>
      </c>
      <c r="F104" s="1">
        <v>2953</v>
      </c>
      <c r="G104" s="1" t="s">
        <v>20</v>
      </c>
      <c r="H104" s="1" t="s">
        <v>94</v>
      </c>
    </row>
    <row r="105" spans="1:8" x14ac:dyDescent="0.35">
      <c r="A105" s="1" t="s">
        <v>30</v>
      </c>
      <c r="B105" s="1">
        <v>0.2</v>
      </c>
      <c r="C105" s="1">
        <v>2014</v>
      </c>
      <c r="D105" s="1" t="s">
        <v>49</v>
      </c>
      <c r="E105" s="1">
        <v>2844</v>
      </c>
      <c r="F105" s="1">
        <v>2953</v>
      </c>
      <c r="G105" s="1" t="s">
        <v>20</v>
      </c>
      <c r="H105" s="1" t="s">
        <v>95</v>
      </c>
    </row>
    <row r="106" spans="1:8" x14ac:dyDescent="0.35">
      <c r="A106" s="1" t="s">
        <v>10</v>
      </c>
      <c r="B106" s="1">
        <v>21.5</v>
      </c>
      <c r="C106" s="1">
        <v>2014</v>
      </c>
      <c r="D106" s="1" t="s">
        <v>49</v>
      </c>
      <c r="E106" s="1">
        <v>2844</v>
      </c>
      <c r="F106" s="1">
        <v>2953</v>
      </c>
      <c r="G106" s="1" t="s">
        <v>11</v>
      </c>
      <c r="H106" s="1" t="s">
        <v>79</v>
      </c>
    </row>
    <row r="107" spans="1:8" x14ac:dyDescent="0.35">
      <c r="A107" s="1" t="s">
        <v>35</v>
      </c>
      <c r="B107" s="1">
        <v>34.200000000000003</v>
      </c>
      <c r="C107" s="1">
        <v>2014</v>
      </c>
      <c r="D107" s="1" t="s">
        <v>49</v>
      </c>
      <c r="E107" s="1">
        <v>2844</v>
      </c>
      <c r="F107" s="1">
        <v>2953</v>
      </c>
      <c r="G107" s="1" t="s">
        <v>11</v>
      </c>
      <c r="H107" s="1" t="s">
        <v>97</v>
      </c>
    </row>
    <row r="108" spans="1:8" x14ac:dyDescent="0.35">
      <c r="A108" s="1" t="s">
        <v>12</v>
      </c>
      <c r="B108" s="1">
        <v>36.9</v>
      </c>
      <c r="C108" s="1">
        <v>2014</v>
      </c>
      <c r="D108" s="1" t="s">
        <v>49</v>
      </c>
      <c r="E108" s="1">
        <v>2844</v>
      </c>
      <c r="F108" s="1">
        <v>2953</v>
      </c>
      <c r="G108" s="1" t="s">
        <v>11</v>
      </c>
      <c r="H108" s="1" t="s">
        <v>80</v>
      </c>
    </row>
    <row r="109" spans="1:8" x14ac:dyDescent="0.35">
      <c r="A109" s="1" t="s">
        <v>36</v>
      </c>
      <c r="B109" s="1">
        <v>24.5</v>
      </c>
      <c r="C109" s="1">
        <v>2014</v>
      </c>
      <c r="D109" s="1" t="s">
        <v>49</v>
      </c>
      <c r="E109" s="1">
        <v>2844</v>
      </c>
      <c r="F109" s="1">
        <v>2953</v>
      </c>
      <c r="G109" s="1" t="s">
        <v>11</v>
      </c>
      <c r="H109" s="1" t="s">
        <v>98</v>
      </c>
    </row>
    <row r="110" spans="1:8" x14ac:dyDescent="0.35">
      <c r="A110" s="1" t="s">
        <v>37</v>
      </c>
      <c r="B110" s="1">
        <v>14.3</v>
      </c>
      <c r="C110" s="1">
        <v>2014</v>
      </c>
      <c r="D110" s="1" t="s">
        <v>49</v>
      </c>
      <c r="E110" s="1">
        <v>2844</v>
      </c>
      <c r="F110" s="1">
        <v>2953</v>
      </c>
      <c r="G110" s="1" t="s">
        <v>11</v>
      </c>
      <c r="H110" s="1" t="s">
        <v>99</v>
      </c>
    </row>
    <row r="111" spans="1:8" x14ac:dyDescent="0.35">
      <c r="A111" s="1" t="s">
        <v>38</v>
      </c>
      <c r="B111" s="1">
        <v>2.4</v>
      </c>
      <c r="C111" s="1">
        <v>2014</v>
      </c>
      <c r="D111" s="1" t="s">
        <v>49</v>
      </c>
      <c r="E111" s="1">
        <v>2844</v>
      </c>
      <c r="F111" s="1">
        <v>2953</v>
      </c>
      <c r="G111" s="1" t="s">
        <v>11</v>
      </c>
      <c r="H111" s="1" t="s">
        <v>100</v>
      </c>
    </row>
    <row r="112" spans="1:8" x14ac:dyDescent="0.35">
      <c r="A112" s="1" t="s">
        <v>32</v>
      </c>
      <c r="B112" s="1">
        <v>0.3</v>
      </c>
      <c r="C112" s="1">
        <v>2014</v>
      </c>
      <c r="D112" s="1" t="s">
        <v>49</v>
      </c>
      <c r="E112" s="1">
        <v>2844</v>
      </c>
      <c r="F112" s="1">
        <v>2953</v>
      </c>
      <c r="G112" s="1" t="s">
        <v>11</v>
      </c>
      <c r="H112" s="1" t="s">
        <v>95</v>
      </c>
    </row>
    <row r="113" spans="1:8" x14ac:dyDescent="0.35">
      <c r="A113" s="1" t="s">
        <v>13</v>
      </c>
      <c r="B113" s="1">
        <v>3</v>
      </c>
      <c r="C113" s="1">
        <v>2014</v>
      </c>
      <c r="D113" s="1" t="s">
        <v>49</v>
      </c>
      <c r="E113" s="1">
        <v>2844</v>
      </c>
      <c r="F113" s="1">
        <v>2953</v>
      </c>
      <c r="G113" s="1" t="s">
        <v>11</v>
      </c>
      <c r="H113" s="1" t="s">
        <v>81</v>
      </c>
    </row>
    <row r="114" spans="1:8" x14ac:dyDescent="0.35">
      <c r="A114" s="1" t="s">
        <v>14</v>
      </c>
      <c r="B114" s="1">
        <v>31.7</v>
      </c>
      <c r="C114" s="1">
        <v>2014</v>
      </c>
      <c r="D114" s="1" t="s">
        <v>49</v>
      </c>
      <c r="E114" s="1">
        <v>2844</v>
      </c>
      <c r="F114" s="1">
        <v>2953</v>
      </c>
      <c r="G114" s="1" t="s">
        <v>11</v>
      </c>
      <c r="H114" s="1" t="s">
        <v>82</v>
      </c>
    </row>
    <row r="115" spans="1:8" x14ac:dyDescent="0.35">
      <c r="A115" s="1" t="s">
        <v>39</v>
      </c>
      <c r="B115" s="1">
        <v>30.6</v>
      </c>
      <c r="C115" s="1">
        <v>2014</v>
      </c>
      <c r="D115" s="1" t="s">
        <v>49</v>
      </c>
      <c r="E115" s="1">
        <v>2844</v>
      </c>
      <c r="F115" s="1">
        <v>2953</v>
      </c>
      <c r="G115" s="1" t="s">
        <v>11</v>
      </c>
      <c r="H115" s="1" t="s">
        <v>101</v>
      </c>
    </row>
    <row r="116" spans="1:8" x14ac:dyDescent="0.35">
      <c r="A116" s="1" t="s">
        <v>40</v>
      </c>
      <c r="B116" s="1">
        <v>18</v>
      </c>
      <c r="C116" s="1">
        <v>2014</v>
      </c>
      <c r="D116" s="1" t="s">
        <v>49</v>
      </c>
      <c r="E116" s="1">
        <v>2844</v>
      </c>
      <c r="F116" s="1">
        <v>2953</v>
      </c>
      <c r="G116" s="1" t="s">
        <v>11</v>
      </c>
      <c r="H116" s="1" t="s">
        <v>102</v>
      </c>
    </row>
    <row r="117" spans="1:8" x14ac:dyDescent="0.35">
      <c r="A117" s="1" t="s">
        <v>41</v>
      </c>
      <c r="B117" s="1">
        <v>7.2</v>
      </c>
      <c r="C117" s="1">
        <v>2014</v>
      </c>
      <c r="D117" s="1" t="s">
        <v>49</v>
      </c>
      <c r="E117" s="1">
        <v>2844</v>
      </c>
      <c r="F117" s="1">
        <v>2953</v>
      </c>
      <c r="G117" s="1" t="s">
        <v>11</v>
      </c>
      <c r="H117" s="1" t="s">
        <v>103</v>
      </c>
    </row>
    <row r="118" spans="1:8" x14ac:dyDescent="0.35">
      <c r="A118" s="1" t="s">
        <v>42</v>
      </c>
      <c r="B118" s="1">
        <v>9.4</v>
      </c>
      <c r="C118" s="1">
        <v>2014</v>
      </c>
      <c r="D118" s="1" t="s">
        <v>49</v>
      </c>
      <c r="E118" s="1">
        <v>2844</v>
      </c>
      <c r="F118" s="1">
        <v>2953</v>
      </c>
      <c r="G118" s="1" t="s">
        <v>11</v>
      </c>
      <c r="H118" s="1" t="s">
        <v>104</v>
      </c>
    </row>
    <row r="119" spans="1:8" x14ac:dyDescent="0.35">
      <c r="A119" s="1" t="s">
        <v>43</v>
      </c>
      <c r="B119" s="1">
        <v>0.1</v>
      </c>
      <c r="C119" s="1">
        <v>2014</v>
      </c>
      <c r="D119" s="1" t="s">
        <v>49</v>
      </c>
      <c r="E119" s="1">
        <v>2844</v>
      </c>
      <c r="F119" s="1">
        <v>2953</v>
      </c>
      <c r="G119" s="1" t="s">
        <v>11</v>
      </c>
      <c r="H119" s="1" t="s">
        <v>95</v>
      </c>
    </row>
    <row r="120" spans="1:8" x14ac:dyDescent="0.35">
      <c r="A120" s="1" t="s">
        <v>15</v>
      </c>
      <c r="B120" s="1">
        <v>14.9</v>
      </c>
      <c r="C120" s="1">
        <v>2014</v>
      </c>
      <c r="D120" s="1" t="s">
        <v>49</v>
      </c>
      <c r="E120" s="1">
        <v>2844</v>
      </c>
      <c r="F120" s="1">
        <v>2953</v>
      </c>
      <c r="G120" s="1" t="s">
        <v>11</v>
      </c>
      <c r="H120" s="1" t="s">
        <v>83</v>
      </c>
    </row>
    <row r="121" spans="1:8" x14ac:dyDescent="0.35">
      <c r="A121" s="1" t="s">
        <v>16</v>
      </c>
      <c r="B121" s="1">
        <v>45.1</v>
      </c>
      <c r="C121" s="1">
        <v>2014</v>
      </c>
      <c r="D121" s="1" t="s">
        <v>49</v>
      </c>
      <c r="E121" s="1">
        <v>2844</v>
      </c>
      <c r="F121" s="1">
        <v>2953</v>
      </c>
      <c r="G121" s="1" t="s">
        <v>11</v>
      </c>
      <c r="H121" s="1" t="s">
        <v>84</v>
      </c>
    </row>
    <row r="122" spans="1:8" x14ac:dyDescent="0.35">
      <c r="A122" s="1" t="s">
        <v>33</v>
      </c>
      <c r="B122" s="1">
        <v>92.8</v>
      </c>
      <c r="C122" s="1">
        <v>2014</v>
      </c>
      <c r="D122" s="1" t="s">
        <v>49</v>
      </c>
      <c r="E122" s="1">
        <v>14442</v>
      </c>
      <c r="F122" s="1">
        <v>14949</v>
      </c>
      <c r="G122" s="1" t="s">
        <v>9</v>
      </c>
      <c r="H122" s="1" t="s">
        <v>33</v>
      </c>
    </row>
    <row r="123" spans="1:8" x14ac:dyDescent="0.35">
      <c r="A123" s="1" t="s">
        <v>7</v>
      </c>
      <c r="B123" s="1">
        <v>14.3</v>
      </c>
      <c r="C123" s="1">
        <v>2022</v>
      </c>
      <c r="D123" s="1" t="s">
        <v>50</v>
      </c>
      <c r="E123" s="1">
        <v>16883</v>
      </c>
      <c r="F123" s="1">
        <v>18836</v>
      </c>
      <c r="G123" s="1" t="s">
        <v>9</v>
      </c>
      <c r="H123" s="1" t="s">
        <v>78</v>
      </c>
    </row>
    <row r="124" spans="1:8" x14ac:dyDescent="0.35">
      <c r="A124" s="1" t="s">
        <v>19</v>
      </c>
      <c r="B124" s="1">
        <v>58.1</v>
      </c>
      <c r="C124" s="1">
        <v>2022</v>
      </c>
      <c r="D124" s="1" t="s">
        <v>50</v>
      </c>
      <c r="E124" s="1">
        <v>2416</v>
      </c>
      <c r="F124" s="1">
        <v>2637</v>
      </c>
      <c r="G124" s="1" t="s">
        <v>20</v>
      </c>
      <c r="H124" s="1" t="s">
        <v>85</v>
      </c>
    </row>
    <row r="125" spans="1:8" x14ac:dyDescent="0.35">
      <c r="A125" s="1" t="s">
        <v>21</v>
      </c>
      <c r="B125" s="1">
        <v>48.3</v>
      </c>
      <c r="C125" s="1">
        <v>2022</v>
      </c>
      <c r="D125" s="1" t="s">
        <v>50</v>
      </c>
      <c r="E125" s="1">
        <v>2416</v>
      </c>
      <c r="F125" s="1">
        <v>2637</v>
      </c>
      <c r="G125" s="1" t="s">
        <v>20</v>
      </c>
      <c r="H125" s="1" t="s">
        <v>86</v>
      </c>
    </row>
    <row r="126" spans="1:8" x14ac:dyDescent="0.35">
      <c r="A126" s="1" t="s">
        <v>45</v>
      </c>
      <c r="B126" s="1">
        <v>25.7</v>
      </c>
      <c r="C126" s="1">
        <v>2022</v>
      </c>
      <c r="D126" s="1" t="s">
        <v>50</v>
      </c>
      <c r="E126" s="1">
        <v>2416</v>
      </c>
      <c r="F126" s="1">
        <v>2637</v>
      </c>
      <c r="G126" s="1" t="s">
        <v>20</v>
      </c>
      <c r="H126" s="1" t="s">
        <v>105</v>
      </c>
    </row>
    <row r="127" spans="1:8" x14ac:dyDescent="0.35">
      <c r="A127" s="1" t="s">
        <v>22</v>
      </c>
      <c r="B127" s="1">
        <v>59.7</v>
      </c>
      <c r="C127" s="1">
        <v>2022</v>
      </c>
      <c r="D127" s="1" t="s">
        <v>50</v>
      </c>
      <c r="E127" s="1">
        <v>2416</v>
      </c>
      <c r="F127" s="1">
        <v>2637</v>
      </c>
      <c r="G127" s="1" t="s">
        <v>20</v>
      </c>
      <c r="H127" s="1" t="s">
        <v>87</v>
      </c>
    </row>
    <row r="128" spans="1:8" x14ac:dyDescent="0.35">
      <c r="A128" s="1" t="s">
        <v>46</v>
      </c>
      <c r="B128" s="1">
        <v>39.5</v>
      </c>
      <c r="C128" s="1">
        <v>2022</v>
      </c>
      <c r="D128" s="1" t="s">
        <v>50</v>
      </c>
      <c r="E128" s="1">
        <v>2416</v>
      </c>
      <c r="F128" s="1">
        <v>2637</v>
      </c>
      <c r="G128" s="1" t="s">
        <v>20</v>
      </c>
      <c r="H128" s="1" t="s">
        <v>106</v>
      </c>
    </row>
    <row r="129" spans="1:8" x14ac:dyDescent="0.35">
      <c r="A129" s="1" t="s">
        <v>23</v>
      </c>
      <c r="B129" s="1">
        <v>28.3</v>
      </c>
      <c r="C129" s="1">
        <v>2022</v>
      </c>
      <c r="D129" s="1" t="s">
        <v>50</v>
      </c>
      <c r="E129" s="1">
        <v>2416</v>
      </c>
      <c r="F129" s="1">
        <v>2637</v>
      </c>
      <c r="G129" s="1" t="s">
        <v>20</v>
      </c>
      <c r="H129" s="1" t="s">
        <v>88</v>
      </c>
    </row>
    <row r="130" spans="1:8" x14ac:dyDescent="0.35">
      <c r="A130" s="1" t="s">
        <v>24</v>
      </c>
      <c r="B130" s="1">
        <v>70.400000000000006</v>
      </c>
      <c r="C130" s="1">
        <v>2022</v>
      </c>
      <c r="D130" s="1" t="s">
        <v>50</v>
      </c>
      <c r="E130" s="1">
        <v>2416</v>
      </c>
      <c r="F130" s="1">
        <v>2637</v>
      </c>
      <c r="G130" s="1" t="s">
        <v>20</v>
      </c>
      <c r="H130" s="1" t="s">
        <v>89</v>
      </c>
    </row>
    <row r="131" spans="1:8" x14ac:dyDescent="0.35">
      <c r="A131" s="1" t="s">
        <v>25</v>
      </c>
      <c r="B131" s="1">
        <v>29.6</v>
      </c>
      <c r="C131" s="1">
        <v>2022</v>
      </c>
      <c r="D131" s="1" t="s">
        <v>50</v>
      </c>
      <c r="E131" s="1">
        <v>2416</v>
      </c>
      <c r="F131" s="1">
        <v>2637</v>
      </c>
      <c r="G131" s="1" t="s">
        <v>20</v>
      </c>
      <c r="H131" s="1" t="s">
        <v>90</v>
      </c>
    </row>
    <row r="132" spans="1:8" x14ac:dyDescent="0.35">
      <c r="A132" s="1" t="s">
        <v>26</v>
      </c>
      <c r="B132" s="1">
        <v>14.3</v>
      </c>
      <c r="C132" s="1">
        <v>2022</v>
      </c>
      <c r="D132" s="1" t="s">
        <v>50</v>
      </c>
      <c r="E132" s="1">
        <v>2416</v>
      </c>
      <c r="F132" s="1">
        <v>2637</v>
      </c>
      <c r="G132" s="1" t="s">
        <v>20</v>
      </c>
      <c r="H132" s="1" t="s">
        <v>91</v>
      </c>
    </row>
    <row r="133" spans="1:8" x14ac:dyDescent="0.35">
      <c r="A133" s="1" t="s">
        <v>47</v>
      </c>
      <c r="B133" s="1">
        <v>2.6</v>
      </c>
      <c r="C133" s="1">
        <v>2022</v>
      </c>
      <c r="D133" s="1" t="s">
        <v>50</v>
      </c>
      <c r="E133" s="1">
        <v>2416</v>
      </c>
      <c r="F133" s="1">
        <v>2637</v>
      </c>
      <c r="G133" s="1" t="s">
        <v>20</v>
      </c>
      <c r="H133" s="1" t="s">
        <v>107</v>
      </c>
    </row>
    <row r="134" spans="1:8" x14ac:dyDescent="0.35">
      <c r="A134" s="1" t="s">
        <v>27</v>
      </c>
      <c r="B134" s="1">
        <v>0.3</v>
      </c>
      <c r="C134" s="1">
        <v>2022</v>
      </c>
      <c r="D134" s="1" t="s">
        <v>50</v>
      </c>
      <c r="E134" s="1">
        <v>2416</v>
      </c>
      <c r="F134" s="1">
        <v>2637</v>
      </c>
      <c r="G134" s="1" t="s">
        <v>20</v>
      </c>
      <c r="H134" s="1" t="s">
        <v>92</v>
      </c>
    </row>
    <row r="135" spans="1:8" x14ac:dyDescent="0.35">
      <c r="A135" s="1" t="s">
        <v>48</v>
      </c>
      <c r="B135" s="1">
        <v>0.5</v>
      </c>
      <c r="C135" s="1">
        <v>2022</v>
      </c>
      <c r="D135" s="1" t="s">
        <v>50</v>
      </c>
      <c r="E135" s="1">
        <v>2416</v>
      </c>
      <c r="F135" s="1">
        <v>2637</v>
      </c>
      <c r="G135" s="1" t="s">
        <v>20</v>
      </c>
      <c r="H135" s="1" t="s">
        <v>108</v>
      </c>
    </row>
    <row r="136" spans="1:8" x14ac:dyDescent="0.35">
      <c r="A136" s="1" t="s">
        <v>28</v>
      </c>
      <c r="B136" s="1">
        <v>7.9</v>
      </c>
      <c r="C136" s="1">
        <v>2022</v>
      </c>
      <c r="D136" s="1" t="s">
        <v>50</v>
      </c>
      <c r="E136" s="1">
        <v>2416</v>
      </c>
      <c r="F136" s="1">
        <v>2637</v>
      </c>
      <c r="G136" s="1" t="s">
        <v>20</v>
      </c>
      <c r="H136" s="1" t="s">
        <v>93</v>
      </c>
    </row>
    <row r="137" spans="1:8" x14ac:dyDescent="0.35">
      <c r="A137" s="1" t="s">
        <v>29</v>
      </c>
      <c r="B137" s="1">
        <v>18.600000000000001</v>
      </c>
      <c r="C137" s="1">
        <v>2022</v>
      </c>
      <c r="D137" s="1" t="s">
        <v>50</v>
      </c>
      <c r="E137" s="1">
        <v>2416</v>
      </c>
      <c r="F137" s="1">
        <v>2637</v>
      </c>
      <c r="G137" s="1" t="s">
        <v>20</v>
      </c>
      <c r="H137" s="1" t="s">
        <v>94</v>
      </c>
    </row>
    <row r="138" spans="1:8" x14ac:dyDescent="0.35">
      <c r="A138" s="1" t="s">
        <v>30</v>
      </c>
      <c r="B138" s="1">
        <v>0.2</v>
      </c>
      <c r="C138" s="1">
        <v>2022</v>
      </c>
      <c r="D138" s="1" t="s">
        <v>50</v>
      </c>
      <c r="E138" s="1">
        <v>2416</v>
      </c>
      <c r="F138" s="1">
        <v>2637</v>
      </c>
      <c r="G138" s="1" t="s">
        <v>20</v>
      </c>
      <c r="H138" s="1" t="s">
        <v>95</v>
      </c>
    </row>
    <row r="139" spans="1:8" x14ac:dyDescent="0.35">
      <c r="A139" s="1" t="s">
        <v>10</v>
      </c>
      <c r="B139" s="1">
        <v>28.3</v>
      </c>
      <c r="C139" s="1">
        <v>2022</v>
      </c>
      <c r="D139" s="1" t="s">
        <v>50</v>
      </c>
      <c r="E139" s="1">
        <v>2416</v>
      </c>
      <c r="F139" s="1">
        <v>2637</v>
      </c>
      <c r="G139" s="1" t="s">
        <v>11</v>
      </c>
      <c r="H139" s="1" t="s">
        <v>79</v>
      </c>
    </row>
    <row r="140" spans="1:8" x14ac:dyDescent="0.35">
      <c r="A140" s="1" t="s">
        <v>35</v>
      </c>
      <c r="B140" s="1">
        <v>31.1</v>
      </c>
      <c r="C140" s="1">
        <v>2022</v>
      </c>
      <c r="D140" s="1" t="s">
        <v>50</v>
      </c>
      <c r="E140" s="1">
        <v>2416</v>
      </c>
      <c r="F140" s="1">
        <v>2637</v>
      </c>
      <c r="G140" s="1" t="s">
        <v>11</v>
      </c>
      <c r="H140" s="1" t="s">
        <v>97</v>
      </c>
    </row>
    <row r="141" spans="1:8" x14ac:dyDescent="0.35">
      <c r="A141" s="1" t="s">
        <v>12</v>
      </c>
      <c r="B141" s="1">
        <v>35.6</v>
      </c>
      <c r="C141" s="1">
        <v>2022</v>
      </c>
      <c r="D141" s="1" t="s">
        <v>50</v>
      </c>
      <c r="E141" s="1">
        <v>2416</v>
      </c>
      <c r="F141" s="1">
        <v>2637</v>
      </c>
      <c r="G141" s="1" t="s">
        <v>11</v>
      </c>
      <c r="H141" s="1" t="s">
        <v>80</v>
      </c>
    </row>
    <row r="142" spans="1:8" x14ac:dyDescent="0.35">
      <c r="A142" s="1" t="s">
        <v>36</v>
      </c>
      <c r="B142" s="1">
        <v>17.899999999999999</v>
      </c>
      <c r="C142" s="1">
        <v>2022</v>
      </c>
      <c r="D142" s="1" t="s">
        <v>50</v>
      </c>
      <c r="E142" s="1">
        <v>2416</v>
      </c>
      <c r="F142" s="1">
        <v>2637</v>
      </c>
      <c r="G142" s="1" t="s">
        <v>11</v>
      </c>
      <c r="H142" s="1" t="s">
        <v>98</v>
      </c>
    </row>
    <row r="143" spans="1:8" x14ac:dyDescent="0.35">
      <c r="A143" s="1" t="s">
        <v>37</v>
      </c>
      <c r="B143" s="1">
        <v>15</v>
      </c>
      <c r="C143" s="1">
        <v>2022</v>
      </c>
      <c r="D143" s="1" t="s">
        <v>50</v>
      </c>
      <c r="E143" s="1">
        <v>2416</v>
      </c>
      <c r="F143" s="1">
        <v>2637</v>
      </c>
      <c r="G143" s="1" t="s">
        <v>11</v>
      </c>
      <c r="H143" s="1" t="s">
        <v>99</v>
      </c>
    </row>
    <row r="144" spans="1:8" x14ac:dyDescent="0.35">
      <c r="A144" s="1" t="s">
        <v>38</v>
      </c>
      <c r="B144" s="1">
        <v>2.7</v>
      </c>
      <c r="C144" s="1">
        <v>2022</v>
      </c>
      <c r="D144" s="1" t="s">
        <v>50</v>
      </c>
      <c r="E144" s="1">
        <v>2416</v>
      </c>
      <c r="F144" s="1">
        <v>2637</v>
      </c>
      <c r="G144" s="1" t="s">
        <v>11</v>
      </c>
      <c r="H144" s="1" t="s">
        <v>100</v>
      </c>
    </row>
    <row r="145" spans="1:8" x14ac:dyDescent="0.35">
      <c r="A145" s="1" t="s">
        <v>32</v>
      </c>
      <c r="B145" s="1">
        <v>0.5</v>
      </c>
      <c r="C145" s="1">
        <v>2022</v>
      </c>
      <c r="D145" s="1" t="s">
        <v>50</v>
      </c>
      <c r="E145" s="1">
        <v>2416</v>
      </c>
      <c r="F145" s="1">
        <v>2637</v>
      </c>
      <c r="G145" s="1" t="s">
        <v>11</v>
      </c>
      <c r="H145" s="1" t="s">
        <v>95</v>
      </c>
    </row>
    <row r="146" spans="1:8" x14ac:dyDescent="0.35">
      <c r="A146" s="1" t="s">
        <v>13</v>
      </c>
      <c r="B146" s="1">
        <v>3.1</v>
      </c>
      <c r="C146" s="1">
        <v>2022</v>
      </c>
      <c r="D146" s="1" t="s">
        <v>50</v>
      </c>
      <c r="E146" s="1">
        <v>2416</v>
      </c>
      <c r="F146" s="1">
        <v>2637</v>
      </c>
      <c r="G146" s="1" t="s">
        <v>11</v>
      </c>
      <c r="H146" s="1" t="s">
        <v>81</v>
      </c>
    </row>
    <row r="147" spans="1:8" x14ac:dyDescent="0.35">
      <c r="A147" s="1" t="s">
        <v>14</v>
      </c>
      <c r="B147" s="1">
        <v>32.700000000000003</v>
      </c>
      <c r="C147" s="1">
        <v>2022</v>
      </c>
      <c r="D147" s="1" t="s">
        <v>50</v>
      </c>
      <c r="E147" s="1">
        <v>2416</v>
      </c>
      <c r="F147" s="1">
        <v>2637</v>
      </c>
      <c r="G147" s="1" t="s">
        <v>11</v>
      </c>
      <c r="H147" s="1" t="s">
        <v>82</v>
      </c>
    </row>
    <row r="148" spans="1:8" x14ac:dyDescent="0.35">
      <c r="A148" s="1" t="s">
        <v>39</v>
      </c>
      <c r="B148" s="1">
        <v>27.6</v>
      </c>
      <c r="C148" s="1">
        <v>2022</v>
      </c>
      <c r="D148" s="1" t="s">
        <v>50</v>
      </c>
      <c r="E148" s="1">
        <v>2416</v>
      </c>
      <c r="F148" s="1">
        <v>2637</v>
      </c>
      <c r="G148" s="1" t="s">
        <v>11</v>
      </c>
      <c r="H148" s="1" t="s">
        <v>101</v>
      </c>
    </row>
    <row r="149" spans="1:8" x14ac:dyDescent="0.35">
      <c r="A149" s="1" t="s">
        <v>40</v>
      </c>
      <c r="B149" s="1">
        <v>20.8</v>
      </c>
      <c r="C149" s="1">
        <v>2022</v>
      </c>
      <c r="D149" s="1" t="s">
        <v>50</v>
      </c>
      <c r="E149" s="1">
        <v>2416</v>
      </c>
      <c r="F149" s="1">
        <v>2637</v>
      </c>
      <c r="G149" s="1" t="s">
        <v>11</v>
      </c>
      <c r="H149" s="1" t="s">
        <v>102</v>
      </c>
    </row>
    <row r="150" spans="1:8" x14ac:dyDescent="0.35">
      <c r="A150" s="1" t="s">
        <v>41</v>
      </c>
      <c r="B150" s="1">
        <v>5.0999999999999996</v>
      </c>
      <c r="C150" s="1">
        <v>2022</v>
      </c>
      <c r="D150" s="1" t="s">
        <v>50</v>
      </c>
      <c r="E150" s="1">
        <v>2416</v>
      </c>
      <c r="F150" s="1">
        <v>2637</v>
      </c>
      <c r="G150" s="1" t="s">
        <v>11</v>
      </c>
      <c r="H150" s="1" t="s">
        <v>103</v>
      </c>
    </row>
    <row r="151" spans="1:8" x14ac:dyDescent="0.35">
      <c r="A151" s="1" t="s">
        <v>42</v>
      </c>
      <c r="B151" s="1">
        <v>10.199999999999999</v>
      </c>
      <c r="C151" s="1">
        <v>2022</v>
      </c>
      <c r="D151" s="1" t="s">
        <v>50</v>
      </c>
      <c r="E151" s="1">
        <v>2416</v>
      </c>
      <c r="F151" s="1">
        <v>2637</v>
      </c>
      <c r="G151" s="1" t="s">
        <v>11</v>
      </c>
      <c r="H151" s="1" t="s">
        <v>104</v>
      </c>
    </row>
    <row r="152" spans="1:8" x14ac:dyDescent="0.35">
      <c r="A152" s="1" t="s">
        <v>43</v>
      </c>
      <c r="B152" s="1">
        <v>0.5</v>
      </c>
      <c r="C152" s="1">
        <v>2022</v>
      </c>
      <c r="D152" s="1" t="s">
        <v>50</v>
      </c>
      <c r="E152" s="1">
        <v>2416</v>
      </c>
      <c r="F152" s="1">
        <v>2637</v>
      </c>
      <c r="G152" s="1" t="s">
        <v>11</v>
      </c>
      <c r="H152" s="1" t="s">
        <v>95</v>
      </c>
    </row>
    <row r="153" spans="1:8" x14ac:dyDescent="0.35">
      <c r="A153" s="1" t="s">
        <v>15</v>
      </c>
      <c r="B153" s="1">
        <v>18.899999999999999</v>
      </c>
      <c r="C153" s="1">
        <v>2022</v>
      </c>
      <c r="D153" s="1" t="s">
        <v>50</v>
      </c>
      <c r="E153" s="1">
        <v>2416</v>
      </c>
      <c r="F153" s="1">
        <v>2637</v>
      </c>
      <c r="G153" s="1" t="s">
        <v>11</v>
      </c>
      <c r="H153" s="1" t="s">
        <v>83</v>
      </c>
    </row>
    <row r="154" spans="1:8" x14ac:dyDescent="0.35">
      <c r="A154" s="1" t="s">
        <v>16</v>
      </c>
      <c r="B154" s="1">
        <v>45.8</v>
      </c>
      <c r="C154" s="1">
        <v>2022</v>
      </c>
      <c r="D154" s="1" t="s">
        <v>50</v>
      </c>
      <c r="E154" s="1">
        <v>2416</v>
      </c>
      <c r="F154" s="1">
        <v>2637</v>
      </c>
      <c r="G154" s="1" t="s">
        <v>11</v>
      </c>
      <c r="H154" s="1" t="s">
        <v>84</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
  <sheetViews>
    <sheetView workbookViewId="0">
      <pane ySplit="3" topLeftCell="A4" activePane="bottomLeft" state="frozen"/>
      <selection pane="bottomLeft" activeCell="C15" sqref="C15"/>
    </sheetView>
  </sheetViews>
  <sheetFormatPr defaultRowHeight="14.5" x14ac:dyDescent="0.35"/>
  <cols>
    <col min="1" max="1" width="18.08984375" bestFit="1" customWidth="1"/>
    <col min="2" max="2" width="9.1796875" bestFit="1" customWidth="1"/>
    <col min="3" max="3" width="52.81640625" bestFit="1" customWidth="1"/>
    <col min="4" max="4" width="20.7265625" bestFit="1" customWidth="1"/>
    <col min="5" max="5" width="45.08984375" bestFit="1" customWidth="1"/>
  </cols>
  <sheetData>
    <row r="1" spans="1:5" x14ac:dyDescent="0.35">
      <c r="A1" s="3" t="s">
        <v>65</v>
      </c>
      <c r="B1" s="3"/>
      <c r="C1" s="3"/>
      <c r="D1" s="3"/>
    </row>
    <row r="3" spans="1:5" s="2" customFormat="1" x14ac:dyDescent="0.35">
      <c r="A3" s="2" t="s">
        <v>51</v>
      </c>
      <c r="B3" s="2" t="s">
        <v>52</v>
      </c>
      <c r="C3" s="2" t="s">
        <v>53</v>
      </c>
      <c r="D3" s="2" t="s">
        <v>54</v>
      </c>
      <c r="E3" s="2" t="s">
        <v>66</v>
      </c>
    </row>
    <row r="4" spans="1:5" x14ac:dyDescent="0.35">
      <c r="A4" t="s">
        <v>0</v>
      </c>
      <c r="B4" t="s">
        <v>55</v>
      </c>
      <c r="C4" t="s">
        <v>57</v>
      </c>
      <c r="D4" t="s">
        <v>64</v>
      </c>
      <c r="E4" t="s">
        <v>67</v>
      </c>
    </row>
    <row r="5" spans="1:5" x14ac:dyDescent="0.35">
      <c r="A5" t="s">
        <v>1</v>
      </c>
      <c r="B5" t="s">
        <v>56</v>
      </c>
      <c r="C5" t="s">
        <v>58</v>
      </c>
      <c r="D5">
        <v>12.7</v>
      </c>
      <c r="E5" t="s">
        <v>68</v>
      </c>
    </row>
    <row r="6" spans="1:5" x14ac:dyDescent="0.35">
      <c r="A6" t="s">
        <v>2</v>
      </c>
      <c r="B6" t="s">
        <v>56</v>
      </c>
      <c r="C6" t="s">
        <v>59</v>
      </c>
      <c r="D6">
        <v>1989</v>
      </c>
      <c r="E6" t="s">
        <v>69</v>
      </c>
    </row>
    <row r="7" spans="1:5" x14ac:dyDescent="0.35">
      <c r="A7" t="s">
        <v>3</v>
      </c>
      <c r="B7" t="s">
        <v>55</v>
      </c>
      <c r="C7" t="s">
        <v>60</v>
      </c>
      <c r="D7">
        <v>1989</v>
      </c>
      <c r="E7" t="s">
        <v>70</v>
      </c>
    </row>
    <row r="8" spans="1:5" x14ac:dyDescent="0.35">
      <c r="A8" t="s">
        <v>4</v>
      </c>
      <c r="B8" t="s">
        <v>56</v>
      </c>
      <c r="C8" t="s">
        <v>61</v>
      </c>
      <c r="D8">
        <v>6589</v>
      </c>
      <c r="E8" t="s">
        <v>71</v>
      </c>
    </row>
    <row r="9" spans="1:5" x14ac:dyDescent="0.35">
      <c r="A9" t="s">
        <v>5</v>
      </c>
      <c r="B9" t="s">
        <v>56</v>
      </c>
      <c r="C9" t="s">
        <v>62</v>
      </c>
      <c r="D9">
        <v>6407</v>
      </c>
      <c r="E9" t="s">
        <v>71</v>
      </c>
    </row>
    <row r="10" spans="1:5" x14ac:dyDescent="0.35">
      <c r="A10" t="s">
        <v>6</v>
      </c>
      <c r="B10" t="s">
        <v>55</v>
      </c>
      <c r="C10" t="s">
        <v>63</v>
      </c>
      <c r="D10" t="s">
        <v>20</v>
      </c>
      <c r="E10" t="s">
        <v>72</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A3E1753-266F-4C12-BA09-2EF9CBEB515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PT_Prevalence</vt:lpstr>
      <vt:lpstr>PT_Treatment</vt:lpstr>
      <vt:lpstr>PT_Feeding</vt:lpstr>
      <vt:lpstr>Data</vt:lpstr>
      <vt:lpstr>Data_Dictionary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2026-03-15T17:40:38Z</dcterms:modified>
</cp:coreProperties>
</file>